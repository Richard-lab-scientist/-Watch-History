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E92B078E0C75B6E/Documents/"/>
    </mc:Choice>
  </mc:AlternateContent>
  <xr:revisionPtr revIDLastSave="457" documentId="8_{436E65E4-6984-4F7C-957C-32A44553AA29}" xr6:coauthVersionLast="47" xr6:coauthVersionMax="47" xr10:uidLastSave="{9C38AA90-6EFF-4345-A812-CA1831673C4B}"/>
  <bookViews>
    <workbookView xWindow="-108" yWindow="-108" windowWidth="23256" windowHeight="13176" xr2:uid="{90369AC2-A1A8-42B9-A12B-88D8F23E4E50}"/>
  </bookViews>
  <sheets>
    <sheet name="Dashboard" sheetId="3" r:id="rId1"/>
    <sheet name="Sheet2" sheetId="5" r:id="rId2"/>
    <sheet name="Watch History " sheetId="1" r:id="rId3"/>
  </sheets>
  <definedNames>
    <definedName name="_01_Jun_2025">'Watch History '!$A$3:$A$200</definedName>
    <definedName name="_04_Jun_2025">'Watch History '!$B$3:$G$3</definedName>
    <definedName name="_05_Jun_2025">'Watch History '!$B$4:$G$4</definedName>
    <definedName name="_08_Jun_2025">'Watch History '!$B$5:$G$5</definedName>
    <definedName name="Building_Better_Study_Habits">'Watch History '!$C$3:$C$200</definedName>
    <definedName name="Category">'Watch History '!$E$2:$E$200</definedName>
    <definedName name="Channel">'Watch History '!$D$2:$D$200</definedName>
    <definedName name="Completion">'Watch History '!#REF!</definedName>
    <definedName name="Date_Watched">'Watch History '!$A$2:$A$200</definedName>
    <definedName name="Day_of_Week">'Watch History '!$B$2:$B$200</definedName>
    <definedName name="Duration__min">'Watch History '!$F$2:$F$200</definedName>
    <definedName name="Jun_2025">'Watch History '!$G$3:$G$200</definedName>
    <definedName name="Justin_Sung">'Watch History '!$D$3:$D$200</definedName>
    <definedName name="Learning_Science">'Watch History '!$E$3:$E$200</definedName>
    <definedName name="Month">'Watch History '!$G$2:$G$200</definedName>
    <definedName name="Sun">'Watch History '!$B$3:$B$200</definedName>
    <definedName name="Video_Title">'Watch History '!$C$2:$C$200</definedName>
    <definedName name="Watched_Minutes">'Watch History '!#REF!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31" i="3"/>
  <c r="C26" i="3"/>
  <c r="B4" i="3"/>
  <c r="B2" i="1"/>
  <c r="F2" i="1"/>
  <c r="G2" i="1"/>
  <c r="B3" i="1"/>
  <c r="F3" i="1"/>
  <c r="G3" i="1"/>
  <c r="B4" i="1"/>
  <c r="F4" i="1"/>
  <c r="G4" i="1"/>
  <c r="B6" i="1"/>
  <c r="F6" i="1"/>
  <c r="G6" i="1"/>
  <c r="B5" i="1"/>
  <c r="F5" i="1"/>
  <c r="G5" i="1"/>
  <c r="B7" i="1"/>
  <c r="F7" i="1"/>
  <c r="G7" i="1"/>
  <c r="B8" i="1"/>
  <c r="F8" i="1"/>
  <c r="G8" i="1"/>
  <c r="B9" i="1"/>
  <c r="F9" i="1"/>
  <c r="G9" i="1"/>
  <c r="B10" i="1"/>
  <c r="F10" i="1"/>
  <c r="G10" i="1"/>
  <c r="B11" i="1"/>
  <c r="F11" i="1"/>
  <c r="G11" i="1"/>
  <c r="B12" i="1"/>
  <c r="F12" i="1"/>
  <c r="G12" i="1"/>
  <c r="B13" i="1"/>
  <c r="F13" i="1"/>
  <c r="G13" i="1"/>
  <c r="B14" i="1"/>
  <c r="F14" i="1"/>
  <c r="G14" i="1"/>
  <c r="B15" i="1"/>
  <c r="F15" i="1"/>
  <c r="G15" i="1"/>
  <c r="B16" i="1"/>
  <c r="F16" i="1"/>
  <c r="G16" i="1"/>
  <c r="B17" i="1"/>
  <c r="F17" i="1"/>
  <c r="G17" i="1"/>
  <c r="B18" i="1"/>
  <c r="F18" i="1"/>
  <c r="G18" i="1"/>
  <c r="B19" i="1"/>
  <c r="F19" i="1"/>
  <c r="G19" i="1"/>
  <c r="B21" i="1"/>
  <c r="F21" i="1"/>
  <c r="G21" i="1"/>
  <c r="B20" i="1"/>
  <c r="F20" i="1"/>
  <c r="G20" i="1"/>
  <c r="B22" i="1"/>
  <c r="F22" i="1"/>
  <c r="G22" i="1"/>
  <c r="B24" i="1"/>
  <c r="F24" i="1"/>
  <c r="G24" i="1"/>
  <c r="B23" i="1"/>
  <c r="F23" i="1"/>
  <c r="G23" i="1"/>
  <c r="B25" i="1"/>
  <c r="F25" i="1"/>
  <c r="G25" i="1"/>
  <c r="B26" i="1"/>
  <c r="F26" i="1"/>
  <c r="G26" i="1"/>
  <c r="B27" i="1"/>
  <c r="F27" i="1"/>
  <c r="G27" i="1"/>
  <c r="B28" i="1"/>
  <c r="F28" i="1"/>
  <c r="G28" i="1"/>
  <c r="B29" i="1"/>
  <c r="F29" i="1"/>
  <c r="G29" i="1"/>
  <c r="B30" i="1"/>
  <c r="F30" i="1"/>
  <c r="G30" i="1"/>
  <c r="B31" i="1"/>
  <c r="F31" i="1"/>
  <c r="G31" i="1"/>
  <c r="B32" i="1"/>
  <c r="F32" i="1"/>
  <c r="G32" i="1"/>
  <c r="B33" i="1"/>
  <c r="F33" i="1"/>
  <c r="G33" i="1"/>
  <c r="B34" i="1"/>
  <c r="F34" i="1"/>
  <c r="G34" i="1"/>
  <c r="B35" i="1"/>
  <c r="F35" i="1"/>
  <c r="G35" i="1"/>
  <c r="B37" i="1"/>
  <c r="F37" i="1"/>
  <c r="G37" i="1"/>
  <c r="B36" i="1"/>
  <c r="F36" i="1"/>
  <c r="G36" i="1"/>
  <c r="B38" i="1"/>
  <c r="F38" i="1"/>
  <c r="G38" i="1"/>
  <c r="B39" i="1"/>
  <c r="F39" i="1"/>
  <c r="G39" i="1"/>
  <c r="B40" i="1"/>
  <c r="F40" i="1"/>
  <c r="G40" i="1"/>
  <c r="B41" i="1"/>
  <c r="F41" i="1"/>
  <c r="G41" i="1"/>
  <c r="B42" i="1"/>
  <c r="F42" i="1"/>
  <c r="G42" i="1"/>
  <c r="B43" i="1"/>
  <c r="F43" i="1"/>
  <c r="G43" i="1"/>
  <c r="B44" i="1"/>
  <c r="F44" i="1"/>
  <c r="G44" i="1"/>
  <c r="B45" i="1"/>
  <c r="F45" i="1"/>
  <c r="G45" i="1"/>
  <c r="B46" i="1"/>
  <c r="F46" i="1"/>
  <c r="G46" i="1"/>
  <c r="B48" i="1"/>
  <c r="F48" i="1"/>
  <c r="G48" i="1"/>
  <c r="B47" i="1"/>
  <c r="F47" i="1"/>
  <c r="G47" i="1"/>
  <c r="B49" i="1"/>
  <c r="F49" i="1"/>
  <c r="G49" i="1"/>
  <c r="B50" i="1"/>
  <c r="F50" i="1"/>
  <c r="G50" i="1"/>
  <c r="B51" i="1"/>
  <c r="F51" i="1"/>
  <c r="G51" i="1"/>
  <c r="B52" i="1"/>
  <c r="F52" i="1"/>
  <c r="G52" i="1"/>
  <c r="B53" i="1"/>
  <c r="F53" i="1"/>
  <c r="G53" i="1"/>
  <c r="B54" i="1"/>
  <c r="F54" i="1"/>
  <c r="G54" i="1"/>
  <c r="B55" i="1"/>
  <c r="F55" i="1"/>
  <c r="G55" i="1"/>
  <c r="B56" i="1"/>
  <c r="F56" i="1"/>
  <c r="G56" i="1"/>
  <c r="B57" i="1"/>
  <c r="F57" i="1"/>
  <c r="G57" i="1"/>
  <c r="B58" i="1"/>
  <c r="F58" i="1"/>
  <c r="G58" i="1"/>
  <c r="B59" i="1"/>
  <c r="F59" i="1"/>
  <c r="G59" i="1"/>
  <c r="B60" i="1"/>
  <c r="F60" i="1"/>
  <c r="G60" i="1"/>
  <c r="B61" i="1"/>
  <c r="F61" i="1"/>
  <c r="G61" i="1"/>
  <c r="B62" i="1"/>
  <c r="F62" i="1"/>
  <c r="G62" i="1"/>
  <c r="B63" i="1"/>
  <c r="F63" i="1"/>
  <c r="G63" i="1"/>
  <c r="B64" i="1"/>
  <c r="F64" i="1"/>
  <c r="G64" i="1"/>
  <c r="B65" i="1"/>
  <c r="F65" i="1"/>
  <c r="G65" i="1"/>
  <c r="B66" i="1"/>
  <c r="F66" i="1"/>
  <c r="G66" i="1"/>
  <c r="B67" i="1"/>
  <c r="F67" i="1"/>
  <c r="G67" i="1"/>
  <c r="B68" i="1"/>
  <c r="F68" i="1"/>
  <c r="G68" i="1"/>
  <c r="B69" i="1"/>
  <c r="F69" i="1"/>
  <c r="G69" i="1"/>
  <c r="B70" i="1"/>
  <c r="F70" i="1"/>
  <c r="G70" i="1"/>
  <c r="B71" i="1"/>
  <c r="F71" i="1"/>
  <c r="G71" i="1"/>
  <c r="B72" i="1"/>
  <c r="F72" i="1"/>
  <c r="G72" i="1"/>
  <c r="B73" i="1"/>
  <c r="F73" i="1"/>
  <c r="G73" i="1"/>
  <c r="B74" i="1"/>
  <c r="F74" i="1"/>
  <c r="G74" i="1"/>
  <c r="B75" i="1"/>
  <c r="F75" i="1"/>
  <c r="G75" i="1"/>
  <c r="B76" i="1"/>
  <c r="F76" i="1"/>
  <c r="G76" i="1"/>
  <c r="B77" i="1"/>
  <c r="F77" i="1"/>
  <c r="G77" i="1"/>
  <c r="B78" i="1"/>
  <c r="F78" i="1"/>
  <c r="G78" i="1"/>
  <c r="B79" i="1"/>
  <c r="F79" i="1"/>
  <c r="G79" i="1"/>
  <c r="B80" i="1"/>
  <c r="F80" i="1"/>
  <c r="G80" i="1"/>
  <c r="B81" i="1"/>
  <c r="F81" i="1"/>
  <c r="G81" i="1"/>
  <c r="B82" i="1"/>
  <c r="F82" i="1"/>
  <c r="G82" i="1"/>
  <c r="B83" i="1"/>
  <c r="F83" i="1"/>
  <c r="G83" i="1"/>
  <c r="B84" i="1"/>
  <c r="F84" i="1"/>
  <c r="G84" i="1"/>
  <c r="B85" i="1"/>
  <c r="F85" i="1"/>
  <c r="G85" i="1"/>
  <c r="B86" i="1"/>
  <c r="F86" i="1"/>
  <c r="G86" i="1"/>
  <c r="B87" i="1"/>
  <c r="F87" i="1"/>
  <c r="G87" i="1"/>
  <c r="B88" i="1"/>
  <c r="F88" i="1"/>
  <c r="G88" i="1"/>
  <c r="B89" i="1"/>
  <c r="F89" i="1"/>
  <c r="G89" i="1"/>
  <c r="B90" i="1"/>
  <c r="F90" i="1"/>
  <c r="G90" i="1"/>
  <c r="B91" i="1"/>
  <c r="F91" i="1"/>
  <c r="G91" i="1"/>
  <c r="B92" i="1"/>
  <c r="F92" i="1"/>
  <c r="G92" i="1"/>
  <c r="B93" i="1"/>
  <c r="F93" i="1"/>
  <c r="G93" i="1"/>
  <c r="B94" i="1"/>
  <c r="F94" i="1"/>
  <c r="G94" i="1"/>
  <c r="B96" i="1"/>
  <c r="F96" i="1"/>
  <c r="G96" i="1"/>
  <c r="B97" i="1"/>
  <c r="F97" i="1"/>
  <c r="G97" i="1"/>
  <c r="B95" i="1"/>
  <c r="F95" i="1"/>
  <c r="G95" i="1"/>
  <c r="B98" i="1"/>
  <c r="F98" i="1"/>
  <c r="G98" i="1"/>
  <c r="B99" i="1"/>
  <c r="F99" i="1"/>
  <c r="G99" i="1"/>
  <c r="B100" i="1"/>
  <c r="F100" i="1"/>
  <c r="G100" i="1"/>
  <c r="B101" i="1"/>
  <c r="F101" i="1"/>
  <c r="G101" i="1"/>
  <c r="B103" i="1"/>
  <c r="F103" i="1"/>
  <c r="G103" i="1"/>
  <c r="B102" i="1"/>
  <c r="F102" i="1"/>
  <c r="G102" i="1"/>
  <c r="B104" i="1"/>
  <c r="F104" i="1"/>
  <c r="G104" i="1"/>
  <c r="B105" i="1"/>
  <c r="F105" i="1"/>
  <c r="G105" i="1"/>
  <c r="B106" i="1"/>
  <c r="F106" i="1"/>
  <c r="G106" i="1"/>
  <c r="B107" i="1"/>
  <c r="F107" i="1"/>
  <c r="G107" i="1"/>
  <c r="B108" i="1"/>
  <c r="F108" i="1"/>
  <c r="G108" i="1"/>
  <c r="B109" i="1"/>
  <c r="F109" i="1"/>
  <c r="G109" i="1"/>
  <c r="B111" i="1"/>
  <c r="F111" i="1"/>
  <c r="G111" i="1"/>
  <c r="B110" i="1"/>
  <c r="F110" i="1"/>
  <c r="G110" i="1"/>
  <c r="B112" i="1"/>
  <c r="F112" i="1"/>
  <c r="G112" i="1"/>
  <c r="B113" i="1"/>
  <c r="F113" i="1"/>
  <c r="G113" i="1"/>
  <c r="B114" i="1"/>
  <c r="F114" i="1"/>
  <c r="G114" i="1"/>
  <c r="B115" i="1"/>
  <c r="F115" i="1"/>
  <c r="G115" i="1"/>
  <c r="B116" i="1"/>
  <c r="F116" i="1"/>
  <c r="G116" i="1"/>
  <c r="B117" i="1"/>
  <c r="F117" i="1"/>
  <c r="G117" i="1"/>
  <c r="B118" i="1"/>
  <c r="F118" i="1"/>
  <c r="G118" i="1"/>
  <c r="B119" i="1"/>
  <c r="F119" i="1"/>
  <c r="G119" i="1"/>
  <c r="B120" i="1"/>
  <c r="F120" i="1"/>
  <c r="G120" i="1"/>
  <c r="B121" i="1"/>
  <c r="F121" i="1"/>
  <c r="G121" i="1"/>
  <c r="B122" i="1"/>
  <c r="F122" i="1"/>
  <c r="G122" i="1"/>
  <c r="B123" i="1"/>
  <c r="F123" i="1"/>
  <c r="G123" i="1"/>
  <c r="B124" i="1"/>
  <c r="F124" i="1"/>
  <c r="G124" i="1"/>
  <c r="B125" i="1"/>
  <c r="F125" i="1"/>
  <c r="G125" i="1"/>
  <c r="B126" i="1"/>
  <c r="F126" i="1"/>
  <c r="G126" i="1"/>
  <c r="B127" i="1"/>
  <c r="F127" i="1"/>
  <c r="G127" i="1"/>
  <c r="B128" i="1"/>
  <c r="F128" i="1"/>
  <c r="G128" i="1"/>
  <c r="B129" i="1"/>
  <c r="F129" i="1"/>
  <c r="G129" i="1"/>
  <c r="B130" i="1"/>
  <c r="F130" i="1"/>
  <c r="G130" i="1"/>
  <c r="B131" i="1"/>
  <c r="F131" i="1"/>
  <c r="G131" i="1"/>
  <c r="B132" i="1"/>
  <c r="F132" i="1"/>
  <c r="G132" i="1"/>
  <c r="B134" i="1"/>
  <c r="F134" i="1"/>
  <c r="G134" i="1"/>
  <c r="B133" i="1"/>
  <c r="F133" i="1"/>
  <c r="G133" i="1"/>
  <c r="B135" i="1"/>
  <c r="F135" i="1"/>
  <c r="G135" i="1"/>
  <c r="B136" i="1"/>
  <c r="F136" i="1"/>
  <c r="G136" i="1"/>
  <c r="B137" i="1"/>
  <c r="F137" i="1"/>
  <c r="G137" i="1"/>
  <c r="B138" i="1"/>
  <c r="F138" i="1"/>
  <c r="G138" i="1"/>
  <c r="B139" i="1"/>
  <c r="F139" i="1"/>
  <c r="G139" i="1"/>
  <c r="B140" i="1"/>
  <c r="F140" i="1"/>
  <c r="G140" i="1"/>
  <c r="B141" i="1"/>
  <c r="F141" i="1"/>
  <c r="G141" i="1"/>
  <c r="B142" i="1"/>
  <c r="F142" i="1"/>
  <c r="G142" i="1"/>
  <c r="B143" i="1"/>
  <c r="F143" i="1"/>
  <c r="G143" i="1"/>
  <c r="B144" i="1"/>
  <c r="F144" i="1"/>
  <c r="G144" i="1"/>
  <c r="B145" i="1"/>
  <c r="F145" i="1"/>
  <c r="G145" i="1"/>
  <c r="B146" i="1"/>
  <c r="F146" i="1"/>
  <c r="G146" i="1"/>
  <c r="B147" i="1"/>
  <c r="F147" i="1"/>
  <c r="G147" i="1"/>
  <c r="B148" i="1"/>
  <c r="F148" i="1"/>
  <c r="G148" i="1"/>
  <c r="B149" i="1"/>
  <c r="F149" i="1"/>
  <c r="G149" i="1"/>
  <c r="B150" i="1"/>
  <c r="F150" i="1"/>
  <c r="G150" i="1"/>
  <c r="B151" i="1"/>
  <c r="F151" i="1"/>
  <c r="G151" i="1"/>
  <c r="B152" i="1"/>
  <c r="F152" i="1"/>
  <c r="G152" i="1"/>
  <c r="B153" i="1"/>
  <c r="F153" i="1"/>
  <c r="G153" i="1"/>
  <c r="B154" i="1"/>
  <c r="F154" i="1"/>
  <c r="G154" i="1"/>
  <c r="B155" i="1"/>
  <c r="F155" i="1"/>
  <c r="G155" i="1"/>
  <c r="B156" i="1"/>
  <c r="F156" i="1"/>
  <c r="G156" i="1"/>
  <c r="B158" i="1"/>
  <c r="F158" i="1"/>
  <c r="G158" i="1"/>
  <c r="B157" i="1"/>
  <c r="F157" i="1"/>
  <c r="G157" i="1"/>
  <c r="B159" i="1"/>
  <c r="F159" i="1"/>
  <c r="G159" i="1"/>
  <c r="B161" i="1"/>
  <c r="F161" i="1"/>
  <c r="G161" i="1"/>
  <c r="B160" i="1"/>
  <c r="F160" i="1"/>
  <c r="G160" i="1"/>
  <c r="B163" i="1"/>
  <c r="F163" i="1"/>
  <c r="G163" i="1"/>
  <c r="B162" i="1"/>
  <c r="F162" i="1"/>
  <c r="G162" i="1"/>
  <c r="B164" i="1"/>
  <c r="F164" i="1"/>
  <c r="G164" i="1"/>
  <c r="B165" i="1"/>
  <c r="F165" i="1"/>
  <c r="G165" i="1"/>
  <c r="B166" i="1"/>
  <c r="F166" i="1"/>
  <c r="G166" i="1"/>
  <c r="B167" i="1"/>
  <c r="F167" i="1"/>
  <c r="G167" i="1"/>
  <c r="B168" i="1"/>
  <c r="F168" i="1"/>
  <c r="G168" i="1"/>
  <c r="B169" i="1"/>
  <c r="F169" i="1"/>
  <c r="G169" i="1"/>
  <c r="B170" i="1"/>
  <c r="F170" i="1"/>
  <c r="G170" i="1"/>
  <c r="B171" i="1"/>
  <c r="F171" i="1"/>
  <c r="G171" i="1"/>
  <c r="B172" i="1"/>
  <c r="F172" i="1"/>
  <c r="G172" i="1"/>
  <c r="B173" i="1"/>
  <c r="F173" i="1"/>
  <c r="G173" i="1"/>
  <c r="B174" i="1"/>
  <c r="F174" i="1"/>
  <c r="G174" i="1"/>
  <c r="B175" i="1"/>
  <c r="F175" i="1"/>
  <c r="G175" i="1"/>
  <c r="B176" i="1"/>
  <c r="F176" i="1"/>
  <c r="G176" i="1"/>
  <c r="B177" i="1"/>
  <c r="F177" i="1"/>
  <c r="G177" i="1"/>
  <c r="B178" i="1"/>
  <c r="F178" i="1"/>
  <c r="G178" i="1"/>
  <c r="B179" i="1"/>
  <c r="F179" i="1"/>
  <c r="G179" i="1"/>
  <c r="B180" i="1"/>
  <c r="F180" i="1"/>
  <c r="G180" i="1"/>
  <c r="B181" i="1"/>
  <c r="F181" i="1"/>
  <c r="G181" i="1"/>
  <c r="B182" i="1"/>
  <c r="F182" i="1"/>
  <c r="G182" i="1"/>
  <c r="B183" i="1"/>
  <c r="F183" i="1"/>
  <c r="G183" i="1"/>
  <c r="B184" i="1"/>
  <c r="F184" i="1"/>
  <c r="G184" i="1"/>
  <c r="B185" i="1"/>
  <c r="F185" i="1"/>
  <c r="G185" i="1"/>
  <c r="B187" i="1"/>
  <c r="F187" i="1"/>
  <c r="G187" i="1"/>
  <c r="B186" i="1"/>
  <c r="F186" i="1"/>
  <c r="G186" i="1"/>
  <c r="B189" i="1"/>
  <c r="F189" i="1"/>
  <c r="G189" i="1"/>
  <c r="B188" i="1"/>
  <c r="F188" i="1"/>
  <c r="G188" i="1"/>
  <c r="B190" i="1"/>
  <c r="F190" i="1"/>
  <c r="G190" i="1"/>
  <c r="B191" i="1"/>
  <c r="F191" i="1"/>
  <c r="G191" i="1"/>
  <c r="B192" i="1"/>
  <c r="F192" i="1"/>
  <c r="G192" i="1"/>
  <c r="B193" i="1"/>
  <c r="F193" i="1"/>
  <c r="G193" i="1"/>
  <c r="B194" i="1"/>
  <c r="F194" i="1"/>
  <c r="G194" i="1"/>
  <c r="B195" i="1"/>
  <c r="F195" i="1"/>
  <c r="G195" i="1"/>
  <c r="B197" i="1"/>
  <c r="F197" i="1"/>
  <c r="G197" i="1"/>
  <c r="B196" i="1"/>
  <c r="F196" i="1"/>
  <c r="G196" i="1"/>
  <c r="B198" i="1"/>
  <c r="F198" i="1"/>
  <c r="G198" i="1"/>
  <c r="B200" i="1"/>
  <c r="F200" i="1"/>
  <c r="G200" i="1"/>
  <c r="B199" i="1"/>
  <c r="F199" i="1"/>
  <c r="G199" i="1"/>
  <c r="C42" i="3" l="1"/>
  <c r="C43" i="3"/>
  <c r="C44" i="3"/>
  <c r="C45" i="3"/>
  <c r="C46" i="3"/>
  <c r="C47" i="3"/>
  <c r="C48" i="3"/>
  <c r="C49" i="3"/>
  <c r="C50" i="3"/>
  <c r="C51" i="3"/>
  <c r="C52" i="3"/>
  <c r="C53" i="3"/>
  <c r="C41" i="3"/>
  <c r="G201" i="1"/>
  <c r="E15" i="3"/>
  <c r="E21" i="3"/>
  <c r="E13" i="3"/>
  <c r="E14" i="3"/>
  <c r="E17" i="3"/>
  <c r="E16" i="3"/>
  <c r="E12" i="3"/>
  <c r="E18" i="3"/>
  <c r="E20" i="3"/>
  <c r="E19" i="3"/>
  <c r="E11" i="3"/>
  <c r="D4" i="3"/>
  <c r="C11" i="3"/>
  <c r="C21" i="3"/>
  <c r="C20" i="3"/>
  <c r="C19" i="3"/>
  <c r="C18" i="3"/>
  <c r="C17" i="3"/>
  <c r="C16" i="3"/>
  <c r="C15" i="3"/>
  <c r="C14" i="3"/>
  <c r="C13" i="3"/>
  <c r="C1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<sst xmlns="http://schemas.openxmlformats.org/spreadsheetml/2006/main" count="655" uniqueCount="236">
  <si>
    <t>CV &amp; Networking</t>
  </si>
  <si>
    <t>10,000 Black Foundation</t>
  </si>
  <si>
    <t>Machine Learning Explained Simply</t>
  </si>
  <si>
    <t>Technology &amp; AI</t>
  </si>
  <si>
    <t>Fireship</t>
  </si>
  <si>
    <t>How Neural Networks Learn</t>
  </si>
  <si>
    <t>Markets &amp; Investrments</t>
  </si>
  <si>
    <t>MoneyWeek</t>
  </si>
  <si>
    <t>Psychology</t>
  </si>
  <si>
    <t>Eternalised</t>
  </si>
  <si>
    <t>Entertainment</t>
  </si>
  <si>
    <t>SkySports Premier League</t>
  </si>
  <si>
    <t>Every Dribble 2020/21 Season</t>
  </si>
  <si>
    <t>Mathematics</t>
  </si>
  <si>
    <t>The Organic Chemistry Tutor</t>
  </si>
  <si>
    <t>Growth Factor</t>
  </si>
  <si>
    <t>Improvement Pill</t>
  </si>
  <si>
    <t>What Is Cognitive Dissonance</t>
  </si>
  <si>
    <t>Arts</t>
  </si>
  <si>
    <t>Draw Like a Sir</t>
  </si>
  <si>
    <t>The Feynman Technique for Deep Understanding</t>
  </si>
  <si>
    <t>Learning Science</t>
  </si>
  <si>
    <t>Justin Sung</t>
  </si>
  <si>
    <t>How to Take Notes That Actually Help You Learn</t>
  </si>
  <si>
    <t>Tech Simplified</t>
  </si>
  <si>
    <t>Economics &amp; Finance</t>
  </si>
  <si>
    <t>Crash Course Economics</t>
  </si>
  <si>
    <t>Supply and Demand: The Basics</t>
  </si>
  <si>
    <t>Tennis TV</t>
  </si>
  <si>
    <t>Rafael Nadal Top 50 Plays</t>
  </si>
  <si>
    <t>How to Study for Exams</t>
  </si>
  <si>
    <t>How to Study Smarter, Not Harder</t>
  </si>
  <si>
    <t>The Psychology Behind Decision Fatigue</t>
  </si>
  <si>
    <t>Neuroscience/Productivity</t>
  </si>
  <si>
    <t>Andrew Huberman</t>
  </si>
  <si>
    <t>Learn Skills Faster</t>
  </si>
  <si>
    <t>Marvel Entertainment</t>
  </si>
  <si>
    <t>Avengers: Infinity Wars</t>
  </si>
  <si>
    <t>Alcara vs Felix Highlights</t>
  </si>
  <si>
    <t>Practical Psychology</t>
  </si>
  <si>
    <t>The Science of Motivation Explained</t>
  </si>
  <si>
    <t>Logarithms</t>
  </si>
  <si>
    <t>NBA TV</t>
  </si>
  <si>
    <t>Detroit Pistons vs Cleveland Cavliers</t>
  </si>
  <si>
    <t>Notations</t>
  </si>
  <si>
    <t>Alexander Zverev vs Cobolli Highlights</t>
  </si>
  <si>
    <t xml:space="preserve">NewCastle United vs Sunderland Rivalry </t>
  </si>
  <si>
    <t>Classis Goals 2001-2026</t>
  </si>
  <si>
    <t>Graham Stephan</t>
  </si>
  <si>
    <t>No-Code Tools for Non-Developers</t>
  </si>
  <si>
    <t>Economics Explained</t>
  </si>
  <si>
    <t>What Is a Recession Really</t>
  </si>
  <si>
    <t>The Future of Automation in the Workplace</t>
  </si>
  <si>
    <t>Two Cents</t>
  </si>
  <si>
    <t>Inflation Explained in 10 Minutes</t>
  </si>
  <si>
    <t>Alpha</t>
  </si>
  <si>
    <t>Understanding the Growth Mindset</t>
  </si>
  <si>
    <t>The Plain Bagel</t>
  </si>
  <si>
    <t>What Is Compound Interest and Why It Matters</t>
  </si>
  <si>
    <t>Veritasium</t>
  </si>
  <si>
    <t>Self Made Millennial</t>
  </si>
  <si>
    <t>Answering 'Tell Me About Yourself' the Right Way</t>
  </si>
  <si>
    <t>X-Men 97</t>
  </si>
  <si>
    <t>NY Knicks v San Antonio Spurs</t>
  </si>
  <si>
    <t>Why We Fall for Confirmation Bias</t>
  </si>
  <si>
    <t>Iron Man I</t>
  </si>
  <si>
    <t>Learning</t>
  </si>
  <si>
    <t>Khan Academy</t>
  </si>
  <si>
    <t>Alcaraz vs BenShelton</t>
  </si>
  <si>
    <t>X-Men II</t>
  </si>
  <si>
    <t>Andy murray vs Stan Wawrinka</t>
  </si>
  <si>
    <t>Tottenham vs Manchester United</t>
  </si>
  <si>
    <t>How Memory Works: Encoding, Storage, Retrieval</t>
  </si>
  <si>
    <t>Beta</t>
  </si>
  <si>
    <t>Understanding Cognitive Biases in Everyday Life</t>
  </si>
  <si>
    <t>Why Cramming Doesn't Work</t>
  </si>
  <si>
    <t>Behavioral Economics: Why We Make Irrational Choices</t>
  </si>
  <si>
    <t>Active Recall vs Passive Review</t>
  </si>
  <si>
    <t>How Central Banks Control the Economy</t>
  </si>
  <si>
    <t>The Psychology Channel</t>
  </si>
  <si>
    <t>How Interest Rates Affect the Economy</t>
  </si>
  <si>
    <t xml:space="preserve">Bournemouth vs Leicester </t>
  </si>
  <si>
    <t>Inflation Explained in 5 Minutes</t>
  </si>
  <si>
    <t>7 Economic Indicators Worth Watching</t>
  </si>
  <si>
    <t>Chelsea vs Liverpool Classic</t>
  </si>
  <si>
    <t>8 AI Tools Worth Trying This Year</t>
  </si>
  <si>
    <t>Building Better Study Habits</t>
  </si>
  <si>
    <t>Covariance</t>
  </si>
  <si>
    <t>Understanding GDP and Economic Growth</t>
  </si>
  <si>
    <t>The Basics of Personal Budgeting</t>
  </si>
  <si>
    <t>Lakers vs Miami Heats</t>
  </si>
  <si>
    <t>Why We Procrastinate: The Psychology Behind It</t>
  </si>
  <si>
    <t>Super Sunday</t>
  </si>
  <si>
    <t>SpiderMan No Way Home</t>
  </si>
  <si>
    <t>8 Economic Indicators Worth Watching</t>
  </si>
  <si>
    <t>Probability</t>
  </si>
  <si>
    <t>How Tariffs Affect Global Trade</t>
  </si>
  <si>
    <t>Sinner vs Alcaraz</t>
  </si>
  <si>
    <t>Nadal vs Federer</t>
  </si>
  <si>
    <t>What Is ChatGPT and How Does It Work</t>
  </si>
  <si>
    <t>What Is Imposter Syndrome and How to Beat It</t>
  </si>
  <si>
    <t>The Stock Market Explained for Beginners</t>
  </si>
  <si>
    <t>Calculating Risk</t>
  </si>
  <si>
    <t>All Save 2025/26</t>
  </si>
  <si>
    <t>Stress Text</t>
  </si>
  <si>
    <t>3 Questions to Ask in Your Next Interview</t>
  </si>
  <si>
    <t>How to Write a Resume That Gets Interviews</t>
  </si>
  <si>
    <t>Machester City vs Liverpool Rivalry 2018/19</t>
  </si>
  <si>
    <t>The Science of Habit Loops</t>
  </si>
  <si>
    <t>Neuroplasticity</t>
  </si>
  <si>
    <t>How to Learn Any Skill 6x Faster</t>
  </si>
  <si>
    <t>What Causes a Recession</t>
  </si>
  <si>
    <t>Derivatives</t>
  </si>
  <si>
    <t>Algebra II</t>
  </si>
  <si>
    <t>Captain America: Civil War</t>
  </si>
  <si>
    <t>Exponenential Formula's</t>
  </si>
  <si>
    <t>Statistics</t>
  </si>
  <si>
    <t>Manchester United vs Arsenal 2001/02</t>
  </si>
  <si>
    <t>Calculus</t>
  </si>
  <si>
    <t>Premier League Worldies</t>
  </si>
  <si>
    <t>Lebron Top 10 Plays</t>
  </si>
  <si>
    <t>Why First Impressions Matter</t>
  </si>
  <si>
    <t>The Forgetting Curve and How to Beat It</t>
  </si>
  <si>
    <t>Algebra</t>
  </si>
  <si>
    <t>Golden State vs Rockets Play Offs</t>
  </si>
  <si>
    <t>All Time Premier League GoalKeepers</t>
  </si>
  <si>
    <t>Nadal vs Djokovic</t>
  </si>
  <si>
    <t>Master Your Sleep &amp; Be More Alert</t>
  </si>
  <si>
    <t>Month</t>
  </si>
  <si>
    <t>Duration (min)</t>
  </si>
  <si>
    <t>Category</t>
  </si>
  <si>
    <t>Channel</t>
  </si>
  <si>
    <t>Video Title</t>
  </si>
  <si>
    <t>Day of Week</t>
  </si>
  <si>
    <t>Date Watched</t>
  </si>
  <si>
    <t>Top 10 Tips for Structuring Your Cv</t>
  </si>
  <si>
    <t>Communication &amp; Influence</t>
  </si>
  <si>
    <t>Discover Your Strengths</t>
  </si>
  <si>
    <t>LinkedIn Masterclass</t>
  </si>
  <si>
    <t>Relationships and Networking</t>
  </si>
  <si>
    <t xml:space="preserve">Interbiew Success Tips </t>
  </si>
  <si>
    <t>The Psychology Behind Interviews</t>
  </si>
  <si>
    <t>Building Resilience</t>
  </si>
  <si>
    <t>Building a Sustainable Career Path</t>
  </si>
  <si>
    <t>Navigating Different Interview Stages</t>
  </si>
  <si>
    <t xml:space="preserve">Alumni Tips </t>
  </si>
  <si>
    <t>How to Animate Characters</t>
  </si>
  <si>
    <t>How to Paint Skin</t>
  </si>
  <si>
    <t>The Secret Behind Five Point Perspective Drawing</t>
  </si>
  <si>
    <t>How to Draw Using the Anatomy Diagram</t>
  </si>
  <si>
    <t>Paint Potraits</t>
  </si>
  <si>
    <t>How to Draw Heads</t>
  </si>
  <si>
    <t>How to Draw Digitally</t>
  </si>
  <si>
    <t>Five Mistakes Every Artist Should Avoid</t>
  </si>
  <si>
    <t>Foreshortening</t>
  </si>
  <si>
    <t>How good Is Your Art</t>
  </si>
  <si>
    <t>Draw Shadows</t>
  </si>
  <si>
    <t>Colour Theory</t>
  </si>
  <si>
    <t>Artworks</t>
  </si>
  <si>
    <t>The Process of Abstractness</t>
  </si>
  <si>
    <t>Psychology of Numbers</t>
  </si>
  <si>
    <t>Psychology of Creativity</t>
  </si>
  <si>
    <t>A fool Dances with Death</t>
  </si>
  <si>
    <t>Ubermensch</t>
  </si>
  <si>
    <t>Nihlism Theory</t>
  </si>
  <si>
    <t>Will to Power</t>
  </si>
  <si>
    <t xml:space="preserve">The Psychology of God's Dark Side </t>
  </si>
  <si>
    <t>The Psychology of Sin</t>
  </si>
  <si>
    <t>The collective Unconscious</t>
  </si>
  <si>
    <t>Introduction to Computer Science- Python</t>
  </si>
  <si>
    <t>Macroeconomics</t>
  </si>
  <si>
    <t>Capitalism</t>
  </si>
  <si>
    <t>Variables</t>
  </si>
  <si>
    <t>Algorithms</t>
  </si>
  <si>
    <t>Program Design</t>
  </si>
  <si>
    <t>Problem Solving</t>
  </si>
  <si>
    <t>Monopoly</t>
  </si>
  <si>
    <t>Deficit and Debt Ceiling</t>
  </si>
  <si>
    <t>Functions in Python</t>
  </si>
  <si>
    <t>Loops &amp; Randomness</t>
  </si>
  <si>
    <t>Dictionaries</t>
  </si>
  <si>
    <t>Financial Markets</t>
  </si>
  <si>
    <t>Capital  Markets</t>
  </si>
  <si>
    <t>Insurance</t>
  </si>
  <si>
    <t>Real Estates</t>
  </si>
  <si>
    <t>Investments</t>
  </si>
  <si>
    <t>CAPM</t>
  </si>
  <si>
    <t>Assets, Liabilities and Pricing</t>
  </si>
  <si>
    <t>Private Equity</t>
  </si>
  <si>
    <t>Balance Sheet, Income Statement &amp; Cash Flow</t>
  </si>
  <si>
    <t>Money Markets</t>
  </si>
  <si>
    <t>Inflation</t>
  </si>
  <si>
    <t>Mortgages</t>
  </si>
  <si>
    <t>Bond</t>
  </si>
  <si>
    <t>Pension</t>
  </si>
  <si>
    <t>Divedends</t>
  </si>
  <si>
    <t>Behavioiral Finance</t>
  </si>
  <si>
    <t>Government Bonds</t>
  </si>
  <si>
    <t>Stocks and Shares ISAs</t>
  </si>
  <si>
    <t>Manageable Debt</t>
  </si>
  <si>
    <t>Leveraging Stocks</t>
  </si>
  <si>
    <t>What Is Cognitive Dissonance in Investment</t>
  </si>
  <si>
    <t>Invesment Mistakes to Avoid</t>
  </si>
  <si>
    <t>Risk Pooling</t>
  </si>
  <si>
    <t>Diversification of Portfolio</t>
  </si>
  <si>
    <t>Discounted Cah Flow</t>
  </si>
  <si>
    <t>How to Value a Company</t>
  </si>
  <si>
    <t>Videos</t>
  </si>
  <si>
    <t>My Youtube Learning History</t>
  </si>
  <si>
    <t>Total Videos Watched</t>
  </si>
  <si>
    <t>Personal Learning Analytics - Jun 2025 to Jun 2026</t>
  </si>
  <si>
    <t>Total</t>
  </si>
  <si>
    <t>Total Hours Watched</t>
  </si>
  <si>
    <t>Categories Explored</t>
  </si>
  <si>
    <t>a</t>
  </si>
  <si>
    <t>Category Breakdown</t>
  </si>
  <si>
    <t xml:space="preserve">Category </t>
  </si>
  <si>
    <t>Hours</t>
  </si>
  <si>
    <t>Top Channels</t>
  </si>
  <si>
    <t>Monthly Trend</t>
  </si>
  <si>
    <t>Row Labels</t>
  </si>
  <si>
    <t>Apr-2026</t>
  </si>
  <si>
    <t>Aug-2025</t>
  </si>
  <si>
    <t>Dec-2025</t>
  </si>
  <si>
    <t>Feb-2026</t>
  </si>
  <si>
    <t>Jan-2026</t>
  </si>
  <si>
    <t>Jul-2025</t>
  </si>
  <si>
    <t>Jun-2025</t>
  </si>
  <si>
    <t>Jun-2026</t>
  </si>
  <si>
    <t>Mar-2026</t>
  </si>
  <si>
    <t>May-2026</t>
  </si>
  <si>
    <t>Nov-2025</t>
  </si>
  <si>
    <t>Oct-2025</t>
  </si>
  <si>
    <t>Sep-2025</t>
  </si>
  <si>
    <t>Grand Total</t>
  </si>
  <si>
    <t>0ct-2025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</si>
</sst>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7" formatCode="mmm\-yyyy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4"/>
      <color theme="4"/>
      <name val="Arial"/>
      <family val="2"/>
    </font>
    <font>
      <sz val="11"/>
      <color theme="4"/>
      <name val="Arial"/>
      <family val="2"/>
    </font>
    <font>
      <sz val="11"/>
      <color theme="0"/>
      <name val="Calibri"/>
      <family val="2"/>
      <charset val="1"/>
    </font>
    <font>
      <b/>
      <sz val="16"/>
      <color theme="0"/>
      <name val="Arial"/>
      <family val="2"/>
    </font>
    <font>
      <b/>
      <sz val="11"/>
      <color theme="3"/>
      <name val="Calibri"/>
      <family val="2"/>
    </font>
    <font>
      <b/>
      <sz val="11"/>
      <color theme="2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 vertic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1" fontId="0" fillId="0" borderId="0" xfId="0" applyNumberFormat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1" fillId="0" borderId="0" xfId="0" applyFont="1"/>
    <xf numFmtId="0" fontId="0" fillId="0" borderId="0" xfId="0" pivotButton="1"/>
    <xf numFmtId="167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Hours</a:t>
            </a:r>
            <a:r>
              <a:rPr lang="en-US" b="1" baseline="0"/>
              <a:t> Watched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0436408392067E-2"/>
          <c:y val="0.17730012741107104"/>
          <c:w val="0.90209563591607933"/>
          <c:h val="0.39807547176913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Dashboard!$C$9:$C$10</c:f>
              <c:strCache>
                <c:ptCount val="2"/>
                <c:pt idx="0">
                  <c:v>Category Breakdown</c:v>
                </c:pt>
                <c:pt idx="1">
                  <c:v>Videos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Dashboard!$B$11:$B$21</c:f>
              <c:strCache>
                <c:ptCount val="11"/>
                <c:pt idx="0">
                  <c:v>Arts</c:v>
                </c:pt>
                <c:pt idx="1">
                  <c:v>CV &amp; Networking</c:v>
                </c:pt>
                <c:pt idx="2">
                  <c:v>Economics &amp; Finance</c:v>
                </c:pt>
                <c:pt idx="3">
                  <c:v>Entertainment</c:v>
                </c:pt>
                <c:pt idx="4">
                  <c:v>Learning</c:v>
                </c:pt>
                <c:pt idx="5">
                  <c:v>Learning Science</c:v>
                </c:pt>
                <c:pt idx="6">
                  <c:v>Markets &amp; Investrments</c:v>
                </c:pt>
                <c:pt idx="7">
                  <c:v>Mathematics</c:v>
                </c:pt>
                <c:pt idx="8">
                  <c:v>Neuroscience/Productivity</c:v>
                </c:pt>
                <c:pt idx="9">
                  <c:v>Psychology</c:v>
                </c:pt>
                <c:pt idx="10">
                  <c:v>Technology &amp; AI</c:v>
                </c:pt>
              </c:strCache>
            </c:strRef>
          </c:cat>
          <c:val>
            <c:numRef>
              <c:f>Dashboard!$C$11:$C$21</c:f>
              <c:numCache>
                <c:formatCode>0</c:formatCode>
                <c:ptCount val="11"/>
                <c:pt idx="0">
                  <c:v>15</c:v>
                </c:pt>
                <c:pt idx="1">
                  <c:v>11</c:v>
                </c:pt>
                <c:pt idx="2">
                  <c:v>32</c:v>
                </c:pt>
                <c:pt idx="3">
                  <c:v>31</c:v>
                </c:pt>
                <c:pt idx="4">
                  <c:v>12</c:v>
                </c:pt>
                <c:pt idx="5">
                  <c:v>8</c:v>
                </c:pt>
                <c:pt idx="6">
                  <c:v>28</c:v>
                </c:pt>
                <c:pt idx="7">
                  <c:v>15</c:v>
                </c:pt>
                <c:pt idx="8">
                  <c:v>7</c:v>
                </c:pt>
                <c:pt idx="9">
                  <c:v>26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D-4F71-B9FC-7D255D107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496495"/>
        <c:axId val="1195498415"/>
      </c:barChart>
      <c:catAx>
        <c:axId val="11954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98415"/>
        <c:crosses val="autoZero"/>
        <c:auto val="1"/>
        <c:lblAlgn val="ctr"/>
        <c:lblOffset val="100"/>
        <c:noMultiLvlLbl val="0"/>
      </c:catAx>
      <c:valAx>
        <c:axId val="119549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Videos Watched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Dashboard!$C$40</c:f>
              <c:strCache>
                <c:ptCount val="1"/>
                <c:pt idx="0">
                  <c:v>Videos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Dashboard!$B$41:$B$53</c:f>
              <c:strCache>
                <c:ptCount val="13"/>
                <c:pt idx="0">
                  <c:v>Jun-2025</c:v>
                </c:pt>
                <c:pt idx="1">
                  <c:v>Jul-2025</c:v>
                </c:pt>
                <c:pt idx="2">
                  <c:v>Aug-2025</c:v>
                </c:pt>
                <c:pt idx="3">
                  <c:v>Sep-2025</c:v>
                </c:pt>
                <c:pt idx="4">
                  <c:v>0ct-2025</c:v>
                </c:pt>
                <c:pt idx="5">
                  <c:v>Nov-2025</c:v>
                </c:pt>
                <c:pt idx="6">
                  <c:v>Dec-2025</c:v>
                </c:pt>
                <c:pt idx="7">
                  <c:v>Jan-2026</c:v>
                </c:pt>
                <c:pt idx="8">
                  <c:v>Feb-2026</c:v>
                </c:pt>
                <c:pt idx="9">
                  <c:v>Mar-2026</c:v>
                </c:pt>
                <c:pt idx="10">
                  <c:v>Apr-2026</c:v>
                </c:pt>
                <c:pt idx="11">
                  <c:v>May-2026</c:v>
                </c:pt>
                <c:pt idx="12">
                  <c:v>Jun-2026</c:v>
                </c:pt>
              </c:strCache>
            </c:strRef>
          </c:cat>
          <c:val>
            <c:numRef>
              <c:f>Dashboard!$C$41:$C$53</c:f>
              <c:numCache>
                <c:formatCode>General</c:formatCode>
                <c:ptCount val="13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22</c:v>
                </c:pt>
                <c:pt idx="8">
                  <c:v>17</c:v>
                </c:pt>
                <c:pt idx="9">
                  <c:v>20</c:v>
                </c:pt>
                <c:pt idx="10">
                  <c:v>19</c:v>
                </c:pt>
                <c:pt idx="11">
                  <c:v>21</c:v>
                </c:pt>
                <c:pt idx="12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3F-4C56-B6E6-0313B842098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157727"/>
        <c:axId val="487159647"/>
      </c:lineChart>
      <c:catAx>
        <c:axId val="487157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59647"/>
        <c:crosses val="autoZero"/>
        <c:auto val="1"/>
        <c:lblAlgn val="ctr"/>
        <c:lblOffset val="100"/>
        <c:noMultiLvlLbl val="0"/>
      </c:catAx>
      <c:valAx>
        <c:axId val="48715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57727"/>
        <c:crosses val="autoZero"/>
        <c:crossBetween val="between"/>
      </c:valAx>
      <c:spPr>
        <a:noFill/>
        <a:ln w="6350">
          <a:solidFill>
            <a:srgbClr val="878787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337455</xdr:colOff>
      <xdr:row>7</xdr:row>
      <xdr:rowOff>146956</xdr:rowOff>
    </xdr:from>
    <xdr:to>
      <xdr:col>13</xdr:col>
      <xdr:colOff>32655</xdr:colOff>
      <xdr:row>22</xdr:row>
      <xdr:rowOff>114299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F97E96-A0F8-118B-7D99-5F975CCCB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427972</xdr:colOff>
      <xdr:row>25</xdr:row>
      <xdr:rowOff>131521</xdr:rowOff>
    </xdr:from>
    <xdr:to>
      <xdr:col>13</xdr:col>
      <xdr:colOff>10438</xdr:colOff>
      <xdr:row>41</xdr:row>
      <xdr:rowOff>104382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1F30A-4348-7222-2544-3B9F81D9C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ade richard" refreshedDate="46198.504191319444" createdVersion="8" refreshedVersion="8" minRefreshableVersion="3" recordCount="199" xr:uid="{2483EC5D-C536-43E2-9E3F-C6725E5B6E9D}">
  <cacheSource type="worksheet">
    <worksheetSource name="WatchHistory4"/>
  </cacheSource>
  <cacheFields count="8">
    <cacheField name="Date Watched" numFmtId="164">
      <sharedItems containsSemiMixedTypes="0" containsNonDate="0" containsDate="1" containsString="0" minDate="2025-06-01T00:00:00" maxDate="2026-06-19T00:00:00"/>
    </cacheField>
    <cacheField name="Day of Week" numFmtId="0">
      <sharedItems/>
    </cacheField>
    <cacheField name="Video Title" numFmtId="0">
      <sharedItems count="164">
        <s v="Building Better Study Habits"/>
        <s v="Master Your Sleep &amp; Be More Alert"/>
        <s v="Top 10 Tips for Structuring Your Cv"/>
        <s v="Financial Markets"/>
        <s v="Understanding Cognitive Biases in Everyday Life"/>
        <s v="Capital  Markets"/>
        <s v="How to Animate Characters"/>
        <s v="How Memory Works: Encoding, Storage, Retrieval"/>
        <s v="The Future of Automation in the Workplace"/>
        <s v="Why We Fall for Confirmation Bias"/>
        <s v="What Is Imposter Syndrome and How to Beat It"/>
        <s v="How to Paint Skin"/>
        <s v="Nadal vs Djokovic"/>
        <s v="Communication &amp; Influence"/>
        <s v="The Secret Behind Five Point Perspective Drawing"/>
        <s v="No-Code Tools for Non-Developers"/>
        <s v="Understanding GDP and Economic Growth"/>
        <s v="All Time Premier League GoalKeepers"/>
        <s v="Insurance"/>
        <s v="Golden State vs Rockets Play Offs"/>
        <s v="How to Draw Using the Anatomy Diagram"/>
        <s v="The Forgetting Curve and How to Beat It"/>
        <s v="Algebra"/>
        <s v="Paint Potraits"/>
        <s v="The Psychology Behind Decision Fatigue"/>
        <s v="Why First Impressions Matter"/>
        <s v="Discover Your Strengths"/>
        <s v="Lebron Top 10 Plays"/>
        <s v="Premier League Worldies"/>
        <s v="Calculus"/>
        <s v="Real Estates"/>
        <s v="How Neural Networks Learn"/>
        <s v="Machine Learning Explained Simply"/>
        <s v="Manchester United vs Arsenal 2001/02"/>
        <s v="How to Draw Heads"/>
        <s v="Investments"/>
        <s v="Supply and Demand: The Basics"/>
        <s v="CAPM"/>
        <s v="How to Draw Digitally"/>
        <s v="Statistics"/>
        <s v="How Tariffs Affect Global Trade"/>
        <s v="Introduction to Computer Science- Python"/>
        <s v="Exponenential Formula's"/>
        <s v="Captain America: Civil War"/>
        <s v="Algebra II"/>
        <s v="Derivatives"/>
        <s v="What Is Cognitive Dissonance"/>
        <s v="The Science of Motivation Explained"/>
        <s v="What Causes a Recession"/>
        <s v="How to Learn Any Skill 6x Faster"/>
        <s v="Neuroplasticity"/>
        <s v="What Is Compound Interest and Why It Matters"/>
        <s v="Macroeconomics"/>
        <s v="Assets, Liabilities and Pricing"/>
        <s v="The Science of Habit Loops"/>
        <s v="Capitalism"/>
        <s v="Machester City vs Liverpool Rivalry 2018/19"/>
        <s v="Variables"/>
        <s v="What Is ChatGPT and How Does It Work"/>
        <s v="Behavioral Economics: Why We Make Irrational Choices"/>
        <s v="How to Write a Resume That Gets Interviews"/>
        <s v="Private Equity"/>
        <s v="Balance Sheet, Income Statement &amp; Cash Flow"/>
        <s v="The Basics of Personal Budgeting"/>
        <s v="3 Questions to Ask in Your Next Interview"/>
        <s v="Active Recall vs Passive Review"/>
        <s v="Draw Shadows"/>
        <s v="Stress Text"/>
        <s v="Why Cramming Doesn't Work"/>
        <s v="All Save 2025/26"/>
        <s v="Algorithms"/>
        <s v="LinkedIn Masterclass"/>
        <s v="Calculating Risk"/>
        <s v="The Stock Market Explained for Beginners"/>
        <s v="Money Markets"/>
        <s v="Nadal vs Federer"/>
        <s v="Inflation"/>
        <s v="Sinner vs Alcaraz"/>
        <s v="Program Design"/>
        <s v="Problem Solving"/>
        <s v="Understanding the Growth Mindset"/>
        <s v="Probability"/>
        <s v="8 Economic Indicators Worth Watching"/>
        <s v="Monopoly"/>
        <s v="SpiderMan No Way Home"/>
        <s v="Mortgages"/>
        <s v="Super Sunday"/>
        <s v="Relationships and Networking"/>
        <s v="Why We Procrastinate: The Psychology Behind It"/>
        <s v="Deficit and Debt Ceiling"/>
        <s v="Lakers vs Miami Heats"/>
        <s v="Covariance"/>
        <s v="Bond"/>
        <s v="8 AI Tools Worth Trying This Year"/>
        <s v="Psychology of Numbers"/>
        <s v="Functions in Python"/>
        <s v="How Interest Rates Affect the Economy"/>
        <s v="Chelsea vs Liverpool Classic"/>
        <s v="Colour Theory"/>
        <s v="7 Economic Indicators Worth Watching"/>
        <s v="Inflation Explained in 5 Minutes"/>
        <s v="Bournemouth vs Leicester "/>
        <s v="Interbiew Success Tips "/>
        <s v="How Central Banks Control the Economy"/>
        <s v="Five Mistakes Every Artist Should Avoid"/>
        <s v="Psychology of Creativity"/>
        <s v="Pension"/>
        <s v="Beta"/>
        <s v="Loops &amp; Randomness"/>
        <s v="Divedends"/>
        <s v="Foreshortening"/>
        <s v="Tottenham vs Manchester United"/>
        <s v="Answering 'Tell Me About Yourself' the Right Way"/>
        <s v="Andy murray vs Stan Wawrinka"/>
        <s v="X-Men II"/>
        <s v="Alcaraz vs BenShelton"/>
        <s v="Dictionaries"/>
        <s v="Behavioiral Finance"/>
        <s v="Iron Man I"/>
        <s v="NY Knicks v San Antonio Spurs"/>
        <s v="Government Bonds"/>
        <s v="How good Is Your Art"/>
        <s v="X-Men 97"/>
        <s v="Inflation Explained in 10 Minutes"/>
        <s v="Stocks and Shares ISAs"/>
        <s v="Manageable Debt"/>
        <s v="Alpha"/>
        <s v="The Psychology Behind Interviews"/>
        <s v="Building Resilience"/>
        <s v="Artworks"/>
        <s v="A fool Dances with Death"/>
        <s v="Building a Sustainable Career Path"/>
        <s v="What Is a Recession Really"/>
        <s v="Leveraging Stocks"/>
        <s v="Ubermensch"/>
        <s v="Classis Goals 2001-2026"/>
        <s v="NewCastle United vs Sunderland Rivalry "/>
        <s v="Nihlism Theory"/>
        <s v="Alexander Zverev vs Cobolli Highlights"/>
        <s v="Notations"/>
        <s v="Detroit Pistons vs Cleveland Cavliers"/>
        <s v="Logarithms"/>
        <s v="What Is Cognitive Dissonance in Investment"/>
        <s v="Alcara vs Felix Highlights"/>
        <s v="Avengers: Infinity Wars"/>
        <s v="Learn Skills Faster"/>
        <s v="Invesment Mistakes to Avoid"/>
        <s v="How to Study Smarter, Not Harder"/>
        <s v="Rafael Nadal Top 50 Plays"/>
        <s v="Will to Power"/>
        <s v="The Psychology of God's Dark Side "/>
        <s v="Risk Pooling"/>
        <s v="The Process of Abstractness"/>
        <s v="Diversification of Portfolio"/>
        <s v="How to Take Notes That Actually Help You Learn"/>
        <s v="The Feynman Technique for Deep Understanding"/>
        <s v="Growth Factor"/>
        <s v="Every Dribble 2020/21 Season"/>
        <s v="The Psychology of Sin"/>
        <s v="Discounted Cah Flow"/>
        <s v="Navigating Different Interview Stages"/>
        <s v="The collective Unconscious"/>
        <s v="How to Value a Company"/>
        <s v="Alumni Tips "/>
      </sharedItems>
    </cacheField>
    <cacheField name="Channel" numFmtId="0">
      <sharedItems count="25">
        <s v="Justin Sung"/>
        <s v="Andrew Huberman"/>
        <s v="10,000 Black Foundation"/>
        <s v="MoneyWeek"/>
        <s v="Practical Psychology"/>
        <s v="Draw Like a Sir"/>
        <s v="Fireship"/>
        <s v="The Psychology Channel"/>
        <s v="Tennis TV"/>
        <s v="Graham Stephan"/>
        <s v="SkySports Premier League"/>
        <s v="NBA TV"/>
        <s v="The Organic Chemistry Tutor"/>
        <s v="Tech Simplified"/>
        <s v="The Plain Bagel"/>
        <s v="Khan Academy"/>
        <s v="Marvel Entertainment"/>
        <s v="Crash Course Economics"/>
        <s v="Economics Explained"/>
        <s v="Improvement Pill"/>
        <s v="Self Made Millennial"/>
        <s v="How to Study for Exams"/>
        <s v="Two Cents"/>
        <s v="Veritasium"/>
        <s v="Eternalised"/>
      </sharedItems>
    </cacheField>
    <cacheField name="Category" numFmtId="0">
      <sharedItems/>
    </cacheField>
    <cacheField name="Duration (min)" numFmtId="0">
      <sharedItems containsSemiMixedTypes="0" containsString="0" containsNumber="1" containsInteger="1" minValue="1" maxValue="3"/>
    </cacheField>
    <cacheField name="Completion %" numFmtId="9">
      <sharedItems containsSemiMixedTypes="0" containsString="0" containsNumber="1" minValue="0.46" maxValue="1"/>
    </cacheField>
    <cacheField name="Month" numFmtId="0">
      <sharedItems count="13">
        <s v="Jun-2025"/>
        <s v="Jul-2025"/>
        <s v="Aug-2025"/>
        <s v="Sep-2025"/>
        <s v="Oct-2025"/>
        <s v="Nov-2025"/>
        <s v="Dec-2025"/>
        <s v="Jan-2026"/>
        <s v="Feb-2026"/>
        <s v="Mar-2026"/>
        <s v="Apr-2026"/>
        <s v="May-2026"/>
        <s v="Jun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d v="2025-06-01T00:00:00"/>
    <s v="Sun"/>
    <x v="0"/>
    <x v="0"/>
    <s v="Learning Science"/>
    <n v="3"/>
    <n v="0.53"/>
    <x v="0"/>
  </r>
  <r>
    <d v="2025-06-04T00:00:00"/>
    <s v="Wed"/>
    <x v="1"/>
    <x v="1"/>
    <s v="Neuroscience/Productivity"/>
    <n v="1"/>
    <n v="0.54"/>
    <x v="0"/>
  </r>
  <r>
    <d v="2025-06-05T00:00:00"/>
    <s v="Thu"/>
    <x v="2"/>
    <x v="2"/>
    <s v="CV &amp; Networking"/>
    <n v="3"/>
    <n v="0.96"/>
    <x v="0"/>
  </r>
  <r>
    <d v="2025-06-08T00:00:00"/>
    <s v="Sun"/>
    <x v="3"/>
    <x v="3"/>
    <s v="Markets &amp; Investrments"/>
    <n v="1"/>
    <n v="0.96"/>
    <x v="0"/>
  </r>
  <r>
    <d v="2025-06-08T00:00:00"/>
    <s v="Sun"/>
    <x v="4"/>
    <x v="4"/>
    <s v="Psychology"/>
    <n v="1"/>
    <n v="0.49"/>
    <x v="0"/>
  </r>
  <r>
    <d v="2025-06-09T00:00:00"/>
    <s v="Mon"/>
    <x v="5"/>
    <x v="3"/>
    <s v="Markets &amp; Investrments"/>
    <n v="1"/>
    <n v="0.77"/>
    <x v="0"/>
  </r>
  <r>
    <d v="2025-06-21T00:00:00"/>
    <s v="Sat"/>
    <x v="6"/>
    <x v="5"/>
    <s v="Arts"/>
    <n v="1"/>
    <n v="0.98"/>
    <x v="0"/>
  </r>
  <r>
    <d v="2025-06-24T00:00:00"/>
    <s v="Tue"/>
    <x v="7"/>
    <x v="4"/>
    <s v="Psychology"/>
    <n v="2"/>
    <n v="0.61"/>
    <x v="0"/>
  </r>
  <r>
    <d v="2025-07-02T00:00:00"/>
    <s v="Wed"/>
    <x v="8"/>
    <x v="6"/>
    <s v="Technology &amp; AI"/>
    <n v="1"/>
    <n v="0.99"/>
    <x v="1"/>
  </r>
  <r>
    <d v="2025-07-03T00:00:00"/>
    <s v="Thu"/>
    <x v="9"/>
    <x v="7"/>
    <s v="Psychology"/>
    <n v="3"/>
    <n v="0.48"/>
    <x v="1"/>
  </r>
  <r>
    <d v="2025-07-04T00:00:00"/>
    <s v="Fri"/>
    <x v="10"/>
    <x v="7"/>
    <s v="Psychology"/>
    <n v="2"/>
    <n v="0.97"/>
    <x v="1"/>
  </r>
  <r>
    <d v="2025-07-14T00:00:00"/>
    <s v="Mon"/>
    <x v="11"/>
    <x v="5"/>
    <s v="Arts"/>
    <n v="2"/>
    <n v="0.95"/>
    <x v="1"/>
  </r>
  <r>
    <d v="2025-07-18T00:00:00"/>
    <s v="Fri"/>
    <x v="12"/>
    <x v="8"/>
    <s v="Entertainment"/>
    <n v="2"/>
    <n v="1"/>
    <x v="1"/>
  </r>
  <r>
    <d v="2025-07-19T00:00:00"/>
    <s v="Sat"/>
    <x v="13"/>
    <x v="2"/>
    <s v="CV &amp; Networking"/>
    <n v="2"/>
    <n v="0.48"/>
    <x v="1"/>
  </r>
  <r>
    <d v="2025-07-22T00:00:00"/>
    <s v="Tue"/>
    <x v="14"/>
    <x v="5"/>
    <s v="Arts"/>
    <n v="3"/>
    <n v="0.93"/>
    <x v="1"/>
  </r>
  <r>
    <d v="2025-07-24T00:00:00"/>
    <s v="Thu"/>
    <x v="15"/>
    <x v="6"/>
    <s v="Technology &amp; AI"/>
    <n v="3"/>
    <n v="0.49"/>
    <x v="1"/>
  </r>
  <r>
    <d v="2025-07-24T00:00:00"/>
    <s v="Thu"/>
    <x v="16"/>
    <x v="9"/>
    <s v="Economics &amp; Finance"/>
    <n v="1"/>
    <n v="0.97"/>
    <x v="1"/>
  </r>
  <r>
    <d v="2025-07-29T00:00:00"/>
    <s v="Tue"/>
    <x v="17"/>
    <x v="10"/>
    <s v="Entertainment"/>
    <n v="2"/>
    <n v="0.98"/>
    <x v="1"/>
  </r>
  <r>
    <d v="2025-08-01T00:00:00"/>
    <s v="Fri"/>
    <x v="18"/>
    <x v="3"/>
    <s v="Markets &amp; Investrments"/>
    <n v="1"/>
    <n v="0.97"/>
    <x v="2"/>
  </r>
  <r>
    <d v="2025-08-01T00:00:00"/>
    <s v="Fri"/>
    <x v="19"/>
    <x v="11"/>
    <s v="Entertainment"/>
    <n v="2"/>
    <n v="0.48"/>
    <x v="2"/>
  </r>
  <r>
    <d v="2025-08-03T00:00:00"/>
    <s v="Sun"/>
    <x v="20"/>
    <x v="5"/>
    <s v="Arts"/>
    <n v="1"/>
    <n v="0.8"/>
    <x v="2"/>
  </r>
  <r>
    <d v="2025-08-07T00:00:00"/>
    <s v="Thu"/>
    <x v="21"/>
    <x v="0"/>
    <s v="Learning Science"/>
    <n v="1"/>
    <n v="0.96"/>
    <x v="2"/>
  </r>
  <r>
    <d v="2025-08-07T00:00:00"/>
    <s v="Thu"/>
    <x v="22"/>
    <x v="12"/>
    <s v="Mathematics"/>
    <n v="1"/>
    <n v="0.96"/>
    <x v="2"/>
  </r>
  <r>
    <d v="2025-08-08T00:00:00"/>
    <s v="Fri"/>
    <x v="23"/>
    <x v="5"/>
    <s v="Arts"/>
    <n v="2"/>
    <n v="0.88"/>
    <x v="2"/>
  </r>
  <r>
    <d v="2025-08-17T00:00:00"/>
    <s v="Sun"/>
    <x v="24"/>
    <x v="7"/>
    <s v="Psychology"/>
    <n v="3"/>
    <n v="0.85"/>
    <x v="2"/>
  </r>
  <r>
    <d v="2025-08-18T00:00:00"/>
    <s v="Mon"/>
    <x v="25"/>
    <x v="7"/>
    <s v="Psychology"/>
    <n v="2"/>
    <n v="0.99"/>
    <x v="2"/>
  </r>
  <r>
    <d v="2025-08-20T00:00:00"/>
    <s v="Wed"/>
    <x v="26"/>
    <x v="2"/>
    <s v="CV &amp; Networking"/>
    <n v="3"/>
    <n v="0.97"/>
    <x v="2"/>
  </r>
  <r>
    <d v="2025-08-21T00:00:00"/>
    <s v="Thu"/>
    <x v="27"/>
    <x v="11"/>
    <s v="Entertainment"/>
    <n v="2"/>
    <n v="0.97"/>
    <x v="2"/>
  </r>
  <r>
    <d v="2025-08-23T00:00:00"/>
    <s v="Sat"/>
    <x v="28"/>
    <x v="10"/>
    <s v="Entertainment"/>
    <n v="3"/>
    <n v="0.98"/>
    <x v="2"/>
  </r>
  <r>
    <d v="2025-08-23T00:00:00"/>
    <s v="Sat"/>
    <x v="29"/>
    <x v="12"/>
    <s v="Mathematics"/>
    <n v="2"/>
    <n v="0.68"/>
    <x v="2"/>
  </r>
  <r>
    <d v="2025-09-01T00:00:00"/>
    <s v="Mon"/>
    <x v="30"/>
    <x v="3"/>
    <s v="Markets &amp; Investrments"/>
    <n v="3"/>
    <n v="0.95"/>
    <x v="3"/>
  </r>
  <r>
    <d v="2025-09-06T00:00:00"/>
    <s v="Sat"/>
    <x v="31"/>
    <x v="6"/>
    <s v="Technology &amp; AI"/>
    <n v="2"/>
    <n v="0.95"/>
    <x v="3"/>
  </r>
  <r>
    <d v="2025-09-08T00:00:00"/>
    <s v="Mon"/>
    <x v="32"/>
    <x v="13"/>
    <s v="Technology &amp; AI"/>
    <n v="1"/>
    <n v="0.95"/>
    <x v="3"/>
  </r>
  <r>
    <d v="2025-09-09T00:00:00"/>
    <s v="Tue"/>
    <x v="33"/>
    <x v="10"/>
    <s v="Entertainment"/>
    <n v="3"/>
    <n v="0.99"/>
    <x v="3"/>
  </r>
  <r>
    <d v="2025-09-14T00:00:00"/>
    <s v="Sun"/>
    <x v="34"/>
    <x v="5"/>
    <s v="Arts"/>
    <n v="2"/>
    <n v="0.96"/>
    <x v="3"/>
  </r>
  <r>
    <d v="2025-09-14T00:00:00"/>
    <s v="Sun"/>
    <x v="35"/>
    <x v="3"/>
    <s v="Markets &amp; Investrments"/>
    <n v="3"/>
    <n v="0.99"/>
    <x v="3"/>
  </r>
  <r>
    <d v="2025-09-15T00:00:00"/>
    <s v="Mon"/>
    <x v="36"/>
    <x v="14"/>
    <s v="Economics &amp; Finance"/>
    <n v="1"/>
    <n v="0.78"/>
    <x v="3"/>
  </r>
  <r>
    <d v="2025-09-18T00:00:00"/>
    <s v="Thu"/>
    <x v="37"/>
    <x v="3"/>
    <s v="Markets &amp; Investrments"/>
    <n v="3"/>
    <n v="0.79"/>
    <x v="3"/>
  </r>
  <r>
    <d v="2025-09-19T00:00:00"/>
    <s v="Fri"/>
    <x v="38"/>
    <x v="5"/>
    <s v="Arts"/>
    <n v="3"/>
    <n v="0.99"/>
    <x v="3"/>
  </r>
  <r>
    <d v="2025-09-23T00:00:00"/>
    <s v="Tue"/>
    <x v="39"/>
    <x v="12"/>
    <s v="Mathematics"/>
    <n v="1"/>
    <n v="0.95"/>
    <x v="3"/>
  </r>
  <r>
    <d v="2025-09-25T00:00:00"/>
    <s v="Thu"/>
    <x v="40"/>
    <x v="14"/>
    <s v="Economics &amp; Finance"/>
    <n v="3"/>
    <n v="0.97"/>
    <x v="3"/>
  </r>
  <r>
    <d v="2025-09-26T00:00:00"/>
    <s v="Fri"/>
    <x v="41"/>
    <x v="15"/>
    <s v="Learning"/>
    <n v="2"/>
    <n v="0.99"/>
    <x v="3"/>
  </r>
  <r>
    <d v="2025-09-26T00:00:00"/>
    <s v="Fri"/>
    <x v="42"/>
    <x v="12"/>
    <s v="Mathematics"/>
    <n v="3"/>
    <n v="0.98"/>
    <x v="3"/>
  </r>
  <r>
    <d v="2025-09-28T00:00:00"/>
    <s v="Sun"/>
    <x v="43"/>
    <x v="16"/>
    <s v="Entertainment"/>
    <n v="3"/>
    <n v="0.81"/>
    <x v="3"/>
  </r>
  <r>
    <d v="2025-10-03T00:00:00"/>
    <s v="Fri"/>
    <x v="44"/>
    <x v="12"/>
    <s v="Mathematics"/>
    <n v="3"/>
    <n v="0.89"/>
    <x v="4"/>
  </r>
  <r>
    <d v="2025-10-04T00:00:00"/>
    <s v="Sat"/>
    <x v="45"/>
    <x v="12"/>
    <s v="Mathematics"/>
    <n v="1"/>
    <n v="0.98"/>
    <x v="4"/>
  </r>
  <r>
    <d v="2025-10-04T00:00:00"/>
    <s v="Sat"/>
    <x v="46"/>
    <x v="7"/>
    <s v="Psychology"/>
    <n v="1"/>
    <n v="0.77"/>
    <x v="4"/>
  </r>
  <r>
    <d v="2025-10-05T00:00:00"/>
    <s v="Sun"/>
    <x v="47"/>
    <x v="7"/>
    <s v="Psychology"/>
    <n v="3"/>
    <n v="0.96"/>
    <x v="4"/>
  </r>
  <r>
    <d v="2025-10-07T00:00:00"/>
    <s v="Tue"/>
    <x v="48"/>
    <x v="17"/>
    <s v="Economics &amp; Finance"/>
    <n v="1"/>
    <n v="0.86"/>
    <x v="4"/>
  </r>
  <r>
    <d v="2025-10-09T00:00:00"/>
    <s v="Thu"/>
    <x v="48"/>
    <x v="18"/>
    <s v="Economics &amp; Finance"/>
    <n v="2"/>
    <n v="0.96"/>
    <x v="4"/>
  </r>
  <r>
    <d v="2025-10-09T00:00:00"/>
    <s v="Thu"/>
    <x v="49"/>
    <x v="0"/>
    <s v="Learning Science"/>
    <n v="3"/>
    <n v="0.98"/>
    <x v="4"/>
  </r>
  <r>
    <d v="2025-10-11T00:00:00"/>
    <s v="Sat"/>
    <x v="50"/>
    <x v="1"/>
    <s v="Neuroscience/Productivity"/>
    <n v="2"/>
    <n v="0.76"/>
    <x v="4"/>
  </r>
  <r>
    <d v="2025-10-11T00:00:00"/>
    <s v="Sat"/>
    <x v="51"/>
    <x v="14"/>
    <s v="Economics &amp; Finance"/>
    <n v="2"/>
    <n v="0.96"/>
    <x v="4"/>
  </r>
  <r>
    <d v="2025-10-12T00:00:00"/>
    <s v="Sun"/>
    <x v="52"/>
    <x v="15"/>
    <s v="Learning"/>
    <n v="3"/>
    <n v="0.94"/>
    <x v="4"/>
  </r>
  <r>
    <d v="2025-10-12T00:00:00"/>
    <s v="Sun"/>
    <x v="53"/>
    <x v="3"/>
    <s v="Markets &amp; Investrments"/>
    <n v="1"/>
    <n v="0.99"/>
    <x v="4"/>
  </r>
  <r>
    <d v="2025-10-13T00:00:00"/>
    <s v="Mon"/>
    <x v="54"/>
    <x v="19"/>
    <s v="Psychology"/>
    <n v="2"/>
    <n v="0.77"/>
    <x v="4"/>
  </r>
  <r>
    <d v="2025-10-20T00:00:00"/>
    <s v="Mon"/>
    <x v="55"/>
    <x v="15"/>
    <s v="Learning"/>
    <n v="2"/>
    <n v="0.81"/>
    <x v="4"/>
  </r>
  <r>
    <d v="2025-10-25T00:00:00"/>
    <s v="Sat"/>
    <x v="56"/>
    <x v="10"/>
    <s v="Entertainment"/>
    <n v="1"/>
    <n v="0.9"/>
    <x v="4"/>
  </r>
  <r>
    <d v="2025-10-28T00:00:00"/>
    <s v="Tue"/>
    <x v="57"/>
    <x v="15"/>
    <s v="Learning"/>
    <n v="1"/>
    <n v="0.98"/>
    <x v="4"/>
  </r>
  <r>
    <d v="2025-10-31T00:00:00"/>
    <s v="Fri"/>
    <x v="58"/>
    <x v="6"/>
    <s v="Technology &amp; AI"/>
    <n v="3"/>
    <n v="0.97"/>
    <x v="4"/>
  </r>
  <r>
    <d v="2025-11-02T00:00:00"/>
    <s v="Sun"/>
    <x v="59"/>
    <x v="14"/>
    <s v="Economics &amp; Finance"/>
    <n v="2"/>
    <n v="0.95"/>
    <x v="5"/>
  </r>
  <r>
    <d v="2025-11-03T00:00:00"/>
    <s v="Mon"/>
    <x v="60"/>
    <x v="20"/>
    <s v="Neuroscience/Productivity"/>
    <n v="1"/>
    <n v="0.73"/>
    <x v="5"/>
  </r>
  <r>
    <d v="2025-11-04T00:00:00"/>
    <s v="Tue"/>
    <x v="45"/>
    <x v="3"/>
    <s v="Markets &amp; Investrments"/>
    <n v="3"/>
    <n v="0.53"/>
    <x v="5"/>
  </r>
  <r>
    <d v="2025-11-10T00:00:00"/>
    <s v="Mon"/>
    <x v="31"/>
    <x v="13"/>
    <s v="Technology &amp; AI"/>
    <n v="1"/>
    <n v="0.97"/>
    <x v="5"/>
  </r>
  <r>
    <d v="2025-11-13T00:00:00"/>
    <s v="Thu"/>
    <x v="61"/>
    <x v="3"/>
    <s v="Markets &amp; Investrments"/>
    <n v="1"/>
    <n v="0.99"/>
    <x v="5"/>
  </r>
  <r>
    <d v="2025-11-15T00:00:00"/>
    <s v="Sat"/>
    <x v="62"/>
    <x v="3"/>
    <s v="Markets &amp; Investrments"/>
    <n v="2"/>
    <n v="0.98"/>
    <x v="5"/>
  </r>
  <r>
    <d v="2025-11-18T00:00:00"/>
    <s v="Tue"/>
    <x v="63"/>
    <x v="14"/>
    <s v="Economics &amp; Finance"/>
    <n v="1"/>
    <n v="0.97"/>
    <x v="5"/>
  </r>
  <r>
    <d v="2025-11-18T00:00:00"/>
    <s v="Tue"/>
    <x v="51"/>
    <x v="14"/>
    <s v="Economics &amp; Finance"/>
    <n v="3"/>
    <n v="0.87"/>
    <x v="5"/>
  </r>
  <r>
    <d v="2025-11-20T00:00:00"/>
    <s v="Thu"/>
    <x v="64"/>
    <x v="20"/>
    <s v="Neuroscience/Productivity"/>
    <n v="1"/>
    <n v="0.95"/>
    <x v="5"/>
  </r>
  <r>
    <d v="2025-11-21T00:00:00"/>
    <s v="Fri"/>
    <x v="65"/>
    <x v="0"/>
    <s v="Learning Science"/>
    <n v="3"/>
    <n v="0.69"/>
    <x v="5"/>
  </r>
  <r>
    <d v="2025-11-24T00:00:00"/>
    <s v="Mon"/>
    <x v="66"/>
    <x v="5"/>
    <s v="Arts"/>
    <n v="2"/>
    <n v="0.96"/>
    <x v="5"/>
  </r>
  <r>
    <d v="2025-11-26T00:00:00"/>
    <s v="Wed"/>
    <x v="16"/>
    <x v="18"/>
    <s v="Economics &amp; Finance"/>
    <n v="3"/>
    <n v="1"/>
    <x v="5"/>
  </r>
  <r>
    <d v="2025-11-27T00:00:00"/>
    <s v="Thu"/>
    <x v="67"/>
    <x v="12"/>
    <s v="Mathematics"/>
    <n v="2"/>
    <n v="0.99"/>
    <x v="5"/>
  </r>
  <r>
    <d v="2025-11-29T00:00:00"/>
    <s v="Sat"/>
    <x v="68"/>
    <x v="21"/>
    <s v="Learning Science"/>
    <n v="1"/>
    <n v="0.96"/>
    <x v="5"/>
  </r>
  <r>
    <d v="2025-11-30T00:00:00"/>
    <s v="Sun"/>
    <x v="69"/>
    <x v="10"/>
    <s v="Entertainment"/>
    <n v="2"/>
    <n v="0.9"/>
    <x v="5"/>
  </r>
  <r>
    <d v="2025-12-02T00:00:00"/>
    <s v="Tue"/>
    <x v="70"/>
    <x v="15"/>
    <s v="Learning"/>
    <n v="2"/>
    <n v="0.81"/>
    <x v="6"/>
  </r>
  <r>
    <d v="2025-12-03T00:00:00"/>
    <s v="Wed"/>
    <x v="71"/>
    <x v="2"/>
    <s v="CV &amp; Networking"/>
    <n v="3"/>
    <n v="0.97"/>
    <x v="6"/>
  </r>
  <r>
    <d v="2025-12-07T00:00:00"/>
    <s v="Sun"/>
    <x v="72"/>
    <x v="12"/>
    <s v="Mathematics"/>
    <n v="1"/>
    <n v="0.7"/>
    <x v="6"/>
  </r>
  <r>
    <d v="2025-12-08T00:00:00"/>
    <s v="Mon"/>
    <x v="73"/>
    <x v="22"/>
    <s v="Economics &amp; Finance"/>
    <n v="3"/>
    <n v="0.76"/>
    <x v="6"/>
  </r>
  <r>
    <d v="2025-12-12T00:00:00"/>
    <s v="Fri"/>
    <x v="74"/>
    <x v="3"/>
    <s v="Markets &amp; Investrments"/>
    <n v="3"/>
    <n v="1"/>
    <x v="6"/>
  </r>
  <r>
    <d v="2025-12-19T00:00:00"/>
    <s v="Fri"/>
    <x v="58"/>
    <x v="6"/>
    <s v="Technology &amp; AI"/>
    <n v="3"/>
    <n v="0.99"/>
    <x v="6"/>
  </r>
  <r>
    <d v="2025-12-22T00:00:00"/>
    <s v="Mon"/>
    <x v="75"/>
    <x v="8"/>
    <s v="Entertainment"/>
    <n v="3"/>
    <n v="0.96"/>
    <x v="6"/>
  </r>
  <r>
    <d v="2025-12-23T00:00:00"/>
    <s v="Tue"/>
    <x v="51"/>
    <x v="17"/>
    <s v="Economics &amp; Finance"/>
    <n v="3"/>
    <n v="0.97"/>
    <x v="6"/>
  </r>
  <r>
    <d v="2025-12-25T00:00:00"/>
    <s v="Thu"/>
    <x v="16"/>
    <x v="22"/>
    <s v="Economics &amp; Finance"/>
    <n v="3"/>
    <n v="0.95"/>
    <x v="6"/>
  </r>
  <r>
    <d v="2025-12-28T00:00:00"/>
    <s v="Sun"/>
    <x v="76"/>
    <x v="3"/>
    <s v="Markets &amp; Investrments"/>
    <n v="2"/>
    <n v="0.96"/>
    <x v="6"/>
  </r>
  <r>
    <d v="2026-01-03T00:00:00"/>
    <s v="Sat"/>
    <x v="77"/>
    <x v="8"/>
    <s v="Entertainment"/>
    <n v="2"/>
    <n v="0.96"/>
    <x v="7"/>
  </r>
  <r>
    <d v="2026-01-04T00:00:00"/>
    <s v="Sun"/>
    <x v="40"/>
    <x v="9"/>
    <s v="Economics &amp; Finance"/>
    <n v="2"/>
    <n v="0.69"/>
    <x v="7"/>
  </r>
  <r>
    <d v="2026-01-06T00:00:00"/>
    <s v="Tue"/>
    <x v="78"/>
    <x v="15"/>
    <s v="Learning"/>
    <n v="2"/>
    <n v="0.87"/>
    <x v="7"/>
  </r>
  <r>
    <d v="2026-01-07T00:00:00"/>
    <s v="Wed"/>
    <x v="79"/>
    <x v="15"/>
    <s v="Learning"/>
    <n v="3"/>
    <n v="0.83"/>
    <x v="7"/>
  </r>
  <r>
    <d v="2026-01-08T00:00:00"/>
    <s v="Thu"/>
    <x v="47"/>
    <x v="4"/>
    <s v="Psychology"/>
    <n v="1"/>
    <n v="0.61"/>
    <x v="7"/>
  </r>
  <r>
    <d v="2026-01-09T00:00:00"/>
    <s v="Fri"/>
    <x v="80"/>
    <x v="19"/>
    <s v="Psychology"/>
    <n v="1"/>
    <n v="1"/>
    <x v="7"/>
  </r>
  <r>
    <d v="2026-01-09T00:00:00"/>
    <s v="Fri"/>
    <x v="81"/>
    <x v="12"/>
    <s v="Mathematics"/>
    <n v="1"/>
    <n v="0.79"/>
    <x v="7"/>
  </r>
  <r>
    <d v="2026-01-10T00:00:00"/>
    <s v="Sat"/>
    <x v="82"/>
    <x v="22"/>
    <s v="Economics &amp; Finance"/>
    <n v="1"/>
    <n v="0.99"/>
    <x v="7"/>
  </r>
  <r>
    <d v="2026-01-12T00:00:00"/>
    <s v="Mon"/>
    <x v="36"/>
    <x v="18"/>
    <s v="Economics &amp; Finance"/>
    <n v="1"/>
    <n v="1"/>
    <x v="7"/>
  </r>
  <r>
    <d v="2026-01-12T00:00:00"/>
    <s v="Mon"/>
    <x v="83"/>
    <x v="15"/>
    <s v="Learning"/>
    <n v="1"/>
    <n v="0.84"/>
    <x v="7"/>
  </r>
  <r>
    <d v="2026-01-12T00:00:00"/>
    <s v="Mon"/>
    <x v="84"/>
    <x v="16"/>
    <s v="Entertainment"/>
    <n v="3"/>
    <n v="0.88"/>
    <x v="7"/>
  </r>
  <r>
    <d v="2026-01-13T00:00:00"/>
    <s v="Tue"/>
    <x v="85"/>
    <x v="3"/>
    <s v="Markets &amp; Investrments"/>
    <n v="2"/>
    <n v="0.85"/>
    <x v="7"/>
  </r>
  <r>
    <d v="2026-01-15T00:00:00"/>
    <s v="Thu"/>
    <x v="86"/>
    <x v="10"/>
    <s v="Entertainment"/>
    <n v="1"/>
    <n v="0.97"/>
    <x v="7"/>
  </r>
  <r>
    <d v="2026-01-21T00:00:00"/>
    <s v="Wed"/>
    <x v="87"/>
    <x v="2"/>
    <s v="CV &amp; Networking"/>
    <n v="3"/>
    <n v="1"/>
    <x v="7"/>
  </r>
  <r>
    <d v="2026-01-21T00:00:00"/>
    <s v="Wed"/>
    <x v="51"/>
    <x v="22"/>
    <s v="Economics &amp; Finance"/>
    <n v="2"/>
    <n v="0.82"/>
    <x v="7"/>
  </r>
  <r>
    <d v="2026-01-22T00:00:00"/>
    <s v="Thu"/>
    <x v="88"/>
    <x v="19"/>
    <s v="Psychology"/>
    <n v="2"/>
    <n v="0.9"/>
    <x v="7"/>
  </r>
  <r>
    <d v="2026-01-22T00:00:00"/>
    <s v="Thu"/>
    <x v="89"/>
    <x v="15"/>
    <s v="Learning"/>
    <n v="1"/>
    <n v="0.99"/>
    <x v="7"/>
  </r>
  <r>
    <d v="2026-01-23T00:00:00"/>
    <s v="Fri"/>
    <x v="90"/>
    <x v="11"/>
    <s v="Entertainment"/>
    <n v="3"/>
    <n v="0.96"/>
    <x v="7"/>
  </r>
  <r>
    <d v="2026-01-27T00:00:00"/>
    <s v="Tue"/>
    <x v="63"/>
    <x v="17"/>
    <s v="Economics &amp; Finance"/>
    <n v="2"/>
    <n v="0.96"/>
    <x v="7"/>
  </r>
  <r>
    <d v="2026-01-28T00:00:00"/>
    <s v="Wed"/>
    <x v="16"/>
    <x v="9"/>
    <s v="Economics &amp; Finance"/>
    <n v="2"/>
    <n v="0.84"/>
    <x v="7"/>
  </r>
  <r>
    <d v="2026-01-28T00:00:00"/>
    <s v="Wed"/>
    <x v="91"/>
    <x v="12"/>
    <s v="Mathematics"/>
    <n v="2"/>
    <n v="0.84"/>
    <x v="7"/>
  </r>
  <r>
    <d v="2026-01-30T00:00:00"/>
    <s v="Fri"/>
    <x v="92"/>
    <x v="3"/>
    <s v="Markets &amp; Investrments"/>
    <n v="3"/>
    <n v="0.76"/>
    <x v="7"/>
  </r>
  <r>
    <d v="2026-02-03T00:00:00"/>
    <s v="Tue"/>
    <x v="93"/>
    <x v="23"/>
    <s v="Technology &amp; AI"/>
    <n v="1"/>
    <n v="0.87"/>
    <x v="8"/>
  </r>
  <r>
    <d v="2026-02-06T00:00:00"/>
    <s v="Fri"/>
    <x v="94"/>
    <x v="24"/>
    <s v="Psychology"/>
    <n v="2"/>
    <n v="0.49"/>
    <x v="8"/>
  </r>
  <r>
    <d v="2026-02-06T00:00:00"/>
    <s v="Fri"/>
    <x v="95"/>
    <x v="15"/>
    <s v="Learning"/>
    <n v="2"/>
    <n v="0.97"/>
    <x v="8"/>
  </r>
  <r>
    <d v="2026-02-08T00:00:00"/>
    <s v="Sun"/>
    <x v="96"/>
    <x v="18"/>
    <s v="Economics &amp; Finance"/>
    <n v="3"/>
    <n v="0.97"/>
    <x v="8"/>
  </r>
  <r>
    <d v="2026-02-09T00:00:00"/>
    <s v="Mon"/>
    <x v="97"/>
    <x v="10"/>
    <s v="Entertainment"/>
    <n v="3"/>
    <n v="0.96"/>
    <x v="8"/>
  </r>
  <r>
    <d v="2026-02-11T00:00:00"/>
    <s v="Wed"/>
    <x v="98"/>
    <x v="5"/>
    <s v="Arts"/>
    <n v="1"/>
    <n v="0.97"/>
    <x v="8"/>
  </r>
  <r>
    <d v="2026-02-13T00:00:00"/>
    <s v="Fri"/>
    <x v="99"/>
    <x v="17"/>
    <s v="Economics &amp; Finance"/>
    <n v="1"/>
    <n v="0.46"/>
    <x v="8"/>
  </r>
  <r>
    <d v="2026-02-15T00:00:00"/>
    <s v="Sun"/>
    <x v="100"/>
    <x v="14"/>
    <s v="Economics &amp; Finance"/>
    <n v="1"/>
    <n v="1"/>
    <x v="8"/>
  </r>
  <r>
    <d v="2026-02-18T00:00:00"/>
    <s v="Wed"/>
    <x v="101"/>
    <x v="10"/>
    <s v="Entertainment"/>
    <n v="3"/>
    <n v="0.99"/>
    <x v="8"/>
  </r>
  <r>
    <d v="2026-02-18T00:00:00"/>
    <s v="Wed"/>
    <x v="96"/>
    <x v="22"/>
    <s v="Economics &amp; Finance"/>
    <n v="3"/>
    <n v="1"/>
    <x v="8"/>
  </r>
  <r>
    <d v="2026-02-20T00:00:00"/>
    <s v="Fri"/>
    <x v="102"/>
    <x v="2"/>
    <s v="CV &amp; Networking"/>
    <n v="2"/>
    <n v="0.98"/>
    <x v="8"/>
  </r>
  <r>
    <d v="2026-02-21T00:00:00"/>
    <s v="Sat"/>
    <x v="80"/>
    <x v="7"/>
    <s v="Psychology"/>
    <n v="3"/>
    <n v="0.96"/>
    <x v="8"/>
  </r>
  <r>
    <d v="2026-02-21T00:00:00"/>
    <s v="Sat"/>
    <x v="103"/>
    <x v="22"/>
    <s v="Economics &amp; Finance"/>
    <n v="1"/>
    <n v="0.83"/>
    <x v="8"/>
  </r>
  <r>
    <d v="2026-02-22T00:00:00"/>
    <s v="Sun"/>
    <x v="104"/>
    <x v="5"/>
    <s v="Arts"/>
    <n v="2"/>
    <n v="0.97"/>
    <x v="8"/>
  </r>
  <r>
    <d v="2026-02-23T00:00:00"/>
    <s v="Mon"/>
    <x v="59"/>
    <x v="22"/>
    <s v="Economics &amp; Finance"/>
    <n v="3"/>
    <n v="0.98"/>
    <x v="8"/>
  </r>
  <r>
    <d v="2026-02-24T00:00:00"/>
    <s v="Tue"/>
    <x v="68"/>
    <x v="0"/>
    <s v="Learning Science"/>
    <n v="3"/>
    <n v="0.86"/>
    <x v="8"/>
  </r>
  <r>
    <d v="2026-02-27T00:00:00"/>
    <s v="Fri"/>
    <x v="105"/>
    <x v="24"/>
    <s v="Psychology"/>
    <n v="2"/>
    <n v="1"/>
    <x v="8"/>
  </r>
  <r>
    <d v="2026-03-02T00:00:00"/>
    <s v="Mon"/>
    <x v="106"/>
    <x v="3"/>
    <s v="Markets &amp; Investrments"/>
    <n v="2"/>
    <n v="0.47"/>
    <x v="9"/>
  </r>
  <r>
    <d v="2026-03-02T00:00:00"/>
    <s v="Mon"/>
    <x v="8"/>
    <x v="23"/>
    <s v="Technology &amp; AI"/>
    <n v="3"/>
    <n v="0.6"/>
    <x v="9"/>
  </r>
  <r>
    <d v="2026-03-03T00:00:00"/>
    <s v="Tue"/>
    <x v="107"/>
    <x v="12"/>
    <s v="Mathematics"/>
    <n v="2"/>
    <n v="0.96"/>
    <x v="9"/>
  </r>
  <r>
    <d v="2026-03-07T00:00:00"/>
    <s v="Sat"/>
    <x v="108"/>
    <x v="15"/>
    <s v="Learning"/>
    <n v="2"/>
    <n v="0.99"/>
    <x v="9"/>
  </r>
  <r>
    <d v="2026-03-07T00:00:00"/>
    <s v="Sat"/>
    <x v="9"/>
    <x v="3"/>
    <s v="Markets &amp; Investrments"/>
    <n v="2"/>
    <n v="0.9"/>
    <x v="9"/>
  </r>
  <r>
    <d v="2026-03-08T00:00:00"/>
    <s v="Sun"/>
    <x v="109"/>
    <x v="3"/>
    <s v="Markets &amp; Investrments"/>
    <n v="2"/>
    <n v="0.95"/>
    <x v="9"/>
  </r>
  <r>
    <d v="2026-03-09T00:00:00"/>
    <s v="Mon"/>
    <x v="7"/>
    <x v="4"/>
    <s v="Psychology"/>
    <n v="1"/>
    <n v="0.94"/>
    <x v="9"/>
  </r>
  <r>
    <d v="2026-03-11T00:00:00"/>
    <s v="Wed"/>
    <x v="110"/>
    <x v="5"/>
    <s v="Arts"/>
    <n v="2"/>
    <n v="0.48"/>
    <x v="9"/>
  </r>
  <r>
    <d v="2026-03-11T00:00:00"/>
    <s v="Wed"/>
    <x v="111"/>
    <x v="10"/>
    <s v="Entertainment"/>
    <n v="2"/>
    <n v="0.92"/>
    <x v="9"/>
  </r>
  <r>
    <d v="2026-03-13T00:00:00"/>
    <s v="Fri"/>
    <x v="112"/>
    <x v="20"/>
    <s v="Neuroscience/Productivity"/>
    <n v="3"/>
    <n v="0.95"/>
    <x v="9"/>
  </r>
  <r>
    <d v="2026-03-19T00:00:00"/>
    <s v="Thu"/>
    <x v="113"/>
    <x v="8"/>
    <s v="Entertainment"/>
    <n v="2"/>
    <n v="0.83"/>
    <x v="9"/>
  </r>
  <r>
    <d v="2026-03-21T00:00:00"/>
    <s v="Sat"/>
    <x v="114"/>
    <x v="16"/>
    <s v="Entertainment"/>
    <n v="1"/>
    <n v="0.8"/>
    <x v="9"/>
  </r>
  <r>
    <d v="2026-03-23T00:00:00"/>
    <s v="Mon"/>
    <x v="115"/>
    <x v="8"/>
    <s v="Entertainment"/>
    <n v="3"/>
    <n v="0.55000000000000004"/>
    <x v="9"/>
  </r>
  <r>
    <d v="2026-03-25T00:00:00"/>
    <s v="Wed"/>
    <x v="116"/>
    <x v="15"/>
    <s v="Learning"/>
    <n v="2"/>
    <n v="0.54"/>
    <x v="9"/>
  </r>
  <r>
    <d v="2026-03-25T00:00:00"/>
    <s v="Wed"/>
    <x v="117"/>
    <x v="3"/>
    <s v="Markets &amp; Investrments"/>
    <n v="3"/>
    <n v="0.82"/>
    <x v="9"/>
  </r>
  <r>
    <d v="2026-03-26T00:00:00"/>
    <s v="Thu"/>
    <x v="118"/>
    <x v="16"/>
    <s v="Entertainment"/>
    <n v="3"/>
    <n v="0.78"/>
    <x v="9"/>
  </r>
  <r>
    <d v="2026-03-27T00:00:00"/>
    <s v="Fri"/>
    <x v="9"/>
    <x v="19"/>
    <s v="Psychology"/>
    <n v="3"/>
    <n v="0.92"/>
    <x v="9"/>
  </r>
  <r>
    <d v="2026-03-29T00:00:00"/>
    <s v="Sun"/>
    <x v="119"/>
    <x v="11"/>
    <s v="Entertainment"/>
    <n v="3"/>
    <n v="0.98"/>
    <x v="9"/>
  </r>
  <r>
    <d v="2026-03-30T00:00:00"/>
    <s v="Mon"/>
    <x v="120"/>
    <x v="3"/>
    <s v="Markets &amp; Investrments"/>
    <n v="3"/>
    <n v="0.98"/>
    <x v="9"/>
  </r>
  <r>
    <d v="2026-03-31T00:00:00"/>
    <s v="Tue"/>
    <x v="121"/>
    <x v="5"/>
    <s v="Arts"/>
    <n v="2"/>
    <n v="0.97"/>
    <x v="9"/>
  </r>
  <r>
    <d v="2026-04-05T00:00:00"/>
    <s v="Sun"/>
    <x v="122"/>
    <x v="16"/>
    <s v="Entertainment"/>
    <n v="2"/>
    <n v="0.78"/>
    <x v="10"/>
  </r>
  <r>
    <d v="2026-04-05T00:00:00"/>
    <s v="Sun"/>
    <x v="123"/>
    <x v="14"/>
    <s v="Economics &amp; Finance"/>
    <n v="1"/>
    <n v="0.7"/>
    <x v="10"/>
  </r>
  <r>
    <d v="2026-04-08T00:00:00"/>
    <s v="Wed"/>
    <x v="112"/>
    <x v="20"/>
    <s v="Neuroscience/Productivity"/>
    <n v="1"/>
    <n v="0.97"/>
    <x v="10"/>
  </r>
  <r>
    <d v="2026-04-09T00:00:00"/>
    <s v="Thu"/>
    <x v="51"/>
    <x v="17"/>
    <s v="Economics &amp; Finance"/>
    <n v="1"/>
    <n v="0.52"/>
    <x v="10"/>
  </r>
  <r>
    <d v="2026-04-09T00:00:00"/>
    <s v="Thu"/>
    <x v="8"/>
    <x v="23"/>
    <s v="Technology &amp; AI"/>
    <n v="3"/>
    <n v="0.99"/>
    <x v="10"/>
  </r>
  <r>
    <d v="2026-04-13T00:00:00"/>
    <s v="Mon"/>
    <x v="51"/>
    <x v="14"/>
    <s v="Economics &amp; Finance"/>
    <n v="3"/>
    <n v="0.97"/>
    <x v="10"/>
  </r>
  <r>
    <d v="2026-04-14T00:00:00"/>
    <s v="Tue"/>
    <x v="124"/>
    <x v="3"/>
    <s v="Markets &amp; Investrments"/>
    <n v="3"/>
    <n v="0.96"/>
    <x v="10"/>
  </r>
  <r>
    <d v="2026-04-15T00:00:00"/>
    <s v="Wed"/>
    <x v="125"/>
    <x v="3"/>
    <s v="Markets &amp; Investrments"/>
    <n v="2"/>
    <n v="0.95"/>
    <x v="10"/>
  </r>
  <r>
    <d v="2026-04-16T00:00:00"/>
    <s v="Thu"/>
    <x v="32"/>
    <x v="6"/>
    <s v="Technology &amp; AI"/>
    <n v="3"/>
    <n v="0.8"/>
    <x v="10"/>
  </r>
  <r>
    <d v="2026-04-18T00:00:00"/>
    <s v="Sat"/>
    <x v="126"/>
    <x v="12"/>
    <s v="Mathematics"/>
    <n v="1"/>
    <n v="0.98"/>
    <x v="10"/>
  </r>
  <r>
    <d v="2026-04-18T00:00:00"/>
    <s v="Sat"/>
    <x v="123"/>
    <x v="22"/>
    <s v="Economics &amp; Finance"/>
    <n v="1"/>
    <n v="0.96"/>
    <x v="10"/>
  </r>
  <r>
    <d v="2026-04-19T00:00:00"/>
    <s v="Sun"/>
    <x v="127"/>
    <x v="2"/>
    <s v="CV &amp; Networking"/>
    <n v="1"/>
    <n v="0.9"/>
    <x v="10"/>
  </r>
  <r>
    <d v="2026-04-19T00:00:00"/>
    <s v="Sun"/>
    <x v="31"/>
    <x v="13"/>
    <s v="Technology &amp; AI"/>
    <n v="1"/>
    <n v="0.95"/>
    <x v="10"/>
  </r>
  <r>
    <d v="2026-04-21T00:00:00"/>
    <s v="Tue"/>
    <x v="128"/>
    <x v="2"/>
    <s v="CV &amp; Networking"/>
    <n v="1"/>
    <n v="0.98"/>
    <x v="10"/>
  </r>
  <r>
    <d v="2026-04-24T00:00:00"/>
    <s v="Fri"/>
    <x v="129"/>
    <x v="5"/>
    <s v="Arts"/>
    <n v="2"/>
    <n v="0.96"/>
    <x v="10"/>
  </r>
  <r>
    <d v="2026-04-24T00:00:00"/>
    <s v="Fri"/>
    <x v="130"/>
    <x v="24"/>
    <s v="Psychology"/>
    <n v="1"/>
    <n v="0.98"/>
    <x v="10"/>
  </r>
  <r>
    <d v="2026-04-29T00:00:00"/>
    <s v="Wed"/>
    <x v="131"/>
    <x v="2"/>
    <s v="CV &amp; Networking"/>
    <n v="3"/>
    <n v="0.97"/>
    <x v="10"/>
  </r>
  <r>
    <d v="2026-04-29T00:00:00"/>
    <s v="Wed"/>
    <x v="132"/>
    <x v="18"/>
    <s v="Economics &amp; Finance"/>
    <n v="1"/>
    <n v="0.98"/>
    <x v="10"/>
  </r>
  <r>
    <d v="2026-04-30T00:00:00"/>
    <s v="Thu"/>
    <x v="133"/>
    <x v="3"/>
    <s v="Markets &amp; Investrments"/>
    <n v="1"/>
    <n v="0.96"/>
    <x v="10"/>
  </r>
  <r>
    <d v="2026-05-02T00:00:00"/>
    <s v="Sat"/>
    <x v="134"/>
    <x v="24"/>
    <s v="Psychology"/>
    <n v="2"/>
    <n v="0.76"/>
    <x v="11"/>
  </r>
  <r>
    <d v="2026-05-03T00:00:00"/>
    <s v="Sun"/>
    <x v="36"/>
    <x v="9"/>
    <s v="Economics &amp; Finance"/>
    <n v="1"/>
    <n v="0.97"/>
    <x v="11"/>
  </r>
  <r>
    <d v="2026-05-03T00:00:00"/>
    <s v="Sun"/>
    <x v="135"/>
    <x v="10"/>
    <s v="Entertainment"/>
    <n v="1"/>
    <n v="0.82"/>
    <x v="11"/>
  </r>
  <r>
    <d v="2026-05-04T00:00:00"/>
    <s v="Mon"/>
    <x v="136"/>
    <x v="10"/>
    <s v="Entertainment"/>
    <n v="2"/>
    <n v="1"/>
    <x v="11"/>
  </r>
  <r>
    <d v="2026-05-05T00:00:00"/>
    <s v="Tue"/>
    <x v="137"/>
    <x v="24"/>
    <s v="Psychology"/>
    <n v="3"/>
    <n v="0.66"/>
    <x v="11"/>
  </r>
  <r>
    <d v="2026-05-05T00:00:00"/>
    <s v="Tue"/>
    <x v="138"/>
    <x v="8"/>
    <s v="Entertainment"/>
    <n v="1"/>
    <n v="0.53"/>
    <x v="11"/>
  </r>
  <r>
    <d v="2026-05-06T00:00:00"/>
    <s v="Wed"/>
    <x v="139"/>
    <x v="12"/>
    <s v="Mathematics"/>
    <n v="3"/>
    <n v="0.92"/>
    <x v="11"/>
  </r>
  <r>
    <d v="2026-05-08T00:00:00"/>
    <s v="Fri"/>
    <x v="140"/>
    <x v="11"/>
    <s v="Entertainment"/>
    <n v="1"/>
    <n v="0.79"/>
    <x v="11"/>
  </r>
  <r>
    <d v="2026-05-12T00:00:00"/>
    <s v="Tue"/>
    <x v="141"/>
    <x v="12"/>
    <s v="Mathematics"/>
    <n v="3"/>
    <n v="0.49"/>
    <x v="11"/>
  </r>
  <r>
    <d v="2026-05-13T00:00:00"/>
    <s v="Wed"/>
    <x v="142"/>
    <x v="3"/>
    <s v="Markets &amp; Investrments"/>
    <n v="3"/>
    <n v="0.82"/>
    <x v="11"/>
  </r>
  <r>
    <d v="2026-05-13T00:00:00"/>
    <s v="Wed"/>
    <x v="47"/>
    <x v="4"/>
    <s v="Psychology"/>
    <n v="2"/>
    <n v="0.98"/>
    <x v="11"/>
  </r>
  <r>
    <d v="2026-05-13T00:00:00"/>
    <s v="Wed"/>
    <x v="143"/>
    <x v="8"/>
    <s v="Entertainment"/>
    <n v="2"/>
    <n v="0.98"/>
    <x v="11"/>
  </r>
  <r>
    <d v="2026-05-14T00:00:00"/>
    <s v="Thu"/>
    <x v="144"/>
    <x v="16"/>
    <s v="Entertainment"/>
    <n v="3"/>
    <n v="0.72"/>
    <x v="11"/>
  </r>
  <r>
    <d v="2026-05-16T00:00:00"/>
    <s v="Sat"/>
    <x v="145"/>
    <x v="1"/>
    <s v="Neuroscience/Productivity"/>
    <n v="1"/>
    <n v="0.96"/>
    <x v="11"/>
  </r>
  <r>
    <d v="2026-05-17T00:00:00"/>
    <s v="Sun"/>
    <x v="146"/>
    <x v="3"/>
    <s v="Markets &amp; Investrments"/>
    <n v="3"/>
    <n v="0.89"/>
    <x v="11"/>
  </r>
  <r>
    <d v="2026-05-20T00:00:00"/>
    <s v="Wed"/>
    <x v="147"/>
    <x v="21"/>
    <s v="Learning Science"/>
    <n v="2"/>
    <n v="0.87"/>
    <x v="11"/>
  </r>
  <r>
    <d v="2026-05-21T00:00:00"/>
    <s v="Thu"/>
    <x v="148"/>
    <x v="8"/>
    <s v="Entertainment"/>
    <n v="3"/>
    <n v="0.53"/>
    <x v="11"/>
  </r>
  <r>
    <d v="2026-05-22T00:00:00"/>
    <s v="Fri"/>
    <x v="149"/>
    <x v="24"/>
    <s v="Psychology"/>
    <n v="2"/>
    <n v="0.96"/>
    <x v="11"/>
  </r>
  <r>
    <d v="2026-05-25T00:00:00"/>
    <s v="Mon"/>
    <x v="150"/>
    <x v="24"/>
    <s v="Psychology"/>
    <n v="2"/>
    <n v="0.54"/>
    <x v="11"/>
  </r>
  <r>
    <d v="2026-05-26T00:00:00"/>
    <s v="Tue"/>
    <x v="151"/>
    <x v="3"/>
    <s v="Markets &amp; Investrments"/>
    <n v="3"/>
    <n v="0.98"/>
    <x v="11"/>
  </r>
  <r>
    <d v="2026-05-28T00:00:00"/>
    <s v="Thu"/>
    <x v="36"/>
    <x v="17"/>
    <s v="Economics &amp; Finance"/>
    <n v="1"/>
    <n v="0.56999999999999995"/>
    <x v="11"/>
  </r>
  <r>
    <d v="2026-06-01T00:00:00"/>
    <s v="Mon"/>
    <x v="152"/>
    <x v="5"/>
    <s v="Arts"/>
    <n v="1"/>
    <n v="0.96"/>
    <x v="12"/>
  </r>
  <r>
    <d v="2026-06-01T00:00:00"/>
    <s v="Mon"/>
    <x v="153"/>
    <x v="3"/>
    <s v="Markets &amp; Investrments"/>
    <n v="1"/>
    <n v="0.98"/>
    <x v="12"/>
  </r>
  <r>
    <d v="2026-06-04T00:00:00"/>
    <s v="Thu"/>
    <x v="154"/>
    <x v="0"/>
    <s v="Learning Science"/>
    <n v="1"/>
    <n v="0.84"/>
    <x v="12"/>
  </r>
  <r>
    <d v="2026-06-04T00:00:00"/>
    <s v="Thu"/>
    <x v="32"/>
    <x v="13"/>
    <s v="Technology &amp; AI"/>
    <n v="1"/>
    <n v="0.82"/>
    <x v="12"/>
  </r>
  <r>
    <d v="2026-06-06T00:00:00"/>
    <s v="Sat"/>
    <x v="155"/>
    <x v="5"/>
    <s v="Arts"/>
    <n v="1"/>
    <n v="0.84"/>
    <x v="12"/>
  </r>
  <r>
    <d v="2026-06-09T00:00:00"/>
    <s v="Tue"/>
    <x v="46"/>
    <x v="19"/>
    <s v="Psychology"/>
    <n v="1"/>
    <n v="1"/>
    <x v="12"/>
  </r>
  <r>
    <d v="2026-06-09T00:00:00"/>
    <s v="Tue"/>
    <x v="156"/>
    <x v="12"/>
    <s v="Mathematics"/>
    <n v="3"/>
    <n v="0.76"/>
    <x v="12"/>
  </r>
  <r>
    <d v="2026-06-10T00:00:00"/>
    <s v="Wed"/>
    <x v="157"/>
    <x v="10"/>
    <s v="Entertainment"/>
    <n v="2"/>
    <n v="0.99"/>
    <x v="12"/>
  </r>
  <r>
    <d v="2026-06-11T00:00:00"/>
    <s v="Thu"/>
    <x v="158"/>
    <x v="24"/>
    <s v="Psychology"/>
    <n v="1"/>
    <n v="0.91"/>
    <x v="12"/>
  </r>
  <r>
    <d v="2026-06-14T00:00:00"/>
    <s v="Sun"/>
    <x v="159"/>
    <x v="3"/>
    <s v="Markets &amp; Investrments"/>
    <n v="1"/>
    <n v="0.97"/>
    <x v="12"/>
  </r>
  <r>
    <d v="2026-06-15T00:00:00"/>
    <s v="Mon"/>
    <x v="160"/>
    <x v="2"/>
    <s v="CV &amp; Networking"/>
    <n v="2"/>
    <n v="0.86"/>
    <x v="12"/>
  </r>
  <r>
    <d v="2026-06-15T00:00:00"/>
    <s v="Mon"/>
    <x v="161"/>
    <x v="24"/>
    <s v="Psychology"/>
    <n v="3"/>
    <n v="0.95"/>
    <x v="12"/>
  </r>
  <r>
    <d v="2026-06-17T00:00:00"/>
    <s v="Wed"/>
    <x v="162"/>
    <x v="3"/>
    <s v="Markets &amp; Investrments"/>
    <n v="2"/>
    <n v="0.72"/>
    <x v="12"/>
  </r>
  <r>
    <d v="2026-06-18T00:00:00"/>
    <s v="Thu"/>
    <x v="163"/>
    <x v="2"/>
    <s v="CV &amp; Networking"/>
    <n v="2"/>
    <n v="0.97"/>
    <x v="12"/>
  </r>
  <r>
    <d v="2026-06-18T00:00:00"/>
    <s v="Thu"/>
    <x v="31"/>
    <x v="6"/>
    <s v="Technology &amp; AI"/>
    <n v="1"/>
    <n v="0.9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3BD6D-6838-4A5E-92B9-8DD4CD28751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8">
    <pivotField numFmtId="164" showAll="0"/>
    <pivotField showAll="0"/>
    <pivotField showAll="0">
      <items count="165">
        <item x="64"/>
        <item x="99"/>
        <item x="93"/>
        <item x="82"/>
        <item x="130"/>
        <item x="65"/>
        <item x="143"/>
        <item x="115"/>
        <item x="138"/>
        <item x="22"/>
        <item x="44"/>
        <item x="70"/>
        <item x="69"/>
        <item x="17"/>
        <item x="126"/>
        <item x="163"/>
        <item x="113"/>
        <item x="112"/>
        <item x="129"/>
        <item x="53"/>
        <item x="144"/>
        <item x="62"/>
        <item x="117"/>
        <item x="59"/>
        <item x="107"/>
        <item x="92"/>
        <item x="101"/>
        <item x="131"/>
        <item x="0"/>
        <item x="128"/>
        <item x="72"/>
        <item x="29"/>
        <item x="5"/>
        <item x="55"/>
        <item x="37"/>
        <item x="43"/>
        <item x="97"/>
        <item x="135"/>
        <item x="98"/>
        <item x="13"/>
        <item x="91"/>
        <item x="89"/>
        <item x="45"/>
        <item x="140"/>
        <item x="116"/>
        <item x="159"/>
        <item x="26"/>
        <item x="109"/>
        <item x="153"/>
        <item x="66"/>
        <item x="157"/>
        <item x="42"/>
        <item x="3"/>
        <item x="104"/>
        <item x="110"/>
        <item x="95"/>
        <item x="19"/>
        <item x="120"/>
        <item x="156"/>
        <item x="103"/>
        <item x="121"/>
        <item x="96"/>
        <item x="7"/>
        <item x="31"/>
        <item x="40"/>
        <item x="6"/>
        <item x="38"/>
        <item x="34"/>
        <item x="20"/>
        <item x="49"/>
        <item x="11"/>
        <item x="147"/>
        <item x="154"/>
        <item x="162"/>
        <item x="60"/>
        <item x="76"/>
        <item x="123"/>
        <item x="100"/>
        <item x="18"/>
        <item x="102"/>
        <item x="41"/>
        <item x="146"/>
        <item x="35"/>
        <item x="118"/>
        <item x="90"/>
        <item x="145"/>
        <item x="27"/>
        <item x="133"/>
        <item x="71"/>
        <item x="141"/>
        <item x="108"/>
        <item x="56"/>
        <item x="32"/>
        <item x="52"/>
        <item x="125"/>
        <item x="33"/>
        <item x="1"/>
        <item x="74"/>
        <item x="83"/>
        <item x="85"/>
        <item x="12"/>
        <item x="75"/>
        <item x="160"/>
        <item x="50"/>
        <item x="136"/>
        <item x="137"/>
        <item x="15"/>
        <item x="139"/>
        <item x="119"/>
        <item x="23"/>
        <item x="106"/>
        <item x="28"/>
        <item x="61"/>
        <item x="81"/>
        <item x="79"/>
        <item x="78"/>
        <item x="105"/>
        <item x="94"/>
        <item x="148"/>
        <item x="30"/>
        <item x="87"/>
        <item x="151"/>
        <item x="77"/>
        <item x="84"/>
        <item x="39"/>
        <item x="124"/>
        <item x="67"/>
        <item x="86"/>
        <item x="36"/>
        <item x="63"/>
        <item x="161"/>
        <item x="155"/>
        <item x="21"/>
        <item x="8"/>
        <item x="152"/>
        <item x="24"/>
        <item x="127"/>
        <item x="150"/>
        <item x="158"/>
        <item x="54"/>
        <item x="47"/>
        <item x="14"/>
        <item x="73"/>
        <item x="2"/>
        <item x="111"/>
        <item x="134"/>
        <item x="4"/>
        <item x="16"/>
        <item x="80"/>
        <item x="57"/>
        <item x="48"/>
        <item x="132"/>
        <item x="58"/>
        <item x="46"/>
        <item x="142"/>
        <item x="51"/>
        <item x="10"/>
        <item x="68"/>
        <item x="25"/>
        <item x="9"/>
        <item x="88"/>
        <item x="149"/>
        <item x="122"/>
        <item x="114"/>
        <item t="default"/>
      </items>
    </pivotField>
    <pivotField showAll="0">
      <items count="26">
        <item x="2"/>
        <item x="1"/>
        <item x="17"/>
        <item x="5"/>
        <item x="18"/>
        <item x="24"/>
        <item x="6"/>
        <item x="9"/>
        <item x="21"/>
        <item x="19"/>
        <item x="0"/>
        <item x="15"/>
        <item x="16"/>
        <item x="3"/>
        <item x="11"/>
        <item x="4"/>
        <item x="20"/>
        <item x="10"/>
        <item x="13"/>
        <item x="8"/>
        <item x="12"/>
        <item x="14"/>
        <item x="7"/>
        <item x="22"/>
        <item x="23"/>
        <item t="default"/>
      </items>
    </pivotField>
    <pivotField showAll="0"/>
    <pivotField dataField="1" showAll="0"/>
    <pivotField numFmtId="9" showAll="0"/>
    <pivotField axis="axisRow" showAll="0">
      <items count="14">
        <item x="10"/>
        <item x="2"/>
        <item x="6"/>
        <item x="8"/>
        <item x="7"/>
        <item x="1"/>
        <item x="0"/>
        <item x="12"/>
        <item x="9"/>
        <item x="11"/>
        <item x="5"/>
        <item x="4"/>
        <item x="3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Hours" fld="5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Bar chart outline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CD3D6-E7EF-4DA4-8564-7E350AF913D5}" name="WatchHistory4" displayName="WatchHistory4" ref="A1:G201" totalsRowCount="1">
  <autoFilter ref="A1:G200" xr:uid="{00000000-0009-0000-0100-000001000000}"/>
  <sortState xmlns:xlrd2="http://schemas.microsoft.com/office/spreadsheetml/2017/richdata2" ref="A2:G200">
    <sortCondition ref="A1:A200"/>
  </sortState>
  <tableColumns count="7">
    <tableColumn id="1" xr3:uid="{4B46D4D1-E6C5-43CE-BD97-71451FE27A4D}" name="Date Watched" totalsRowLabel="Total"/>
    <tableColumn id="2" xr3:uid="{BD7CAF69-F7F9-49C8-8EC4-03766A0E951F}" name="Day of Week">
      <calculatedColumnFormula>TEXT(A2,"ddd")</calculatedColumnFormula>
    </tableColumn>
    <tableColumn id="3" xr3:uid="{A8CC6ABE-15D1-4644-BE20-E704F8107DB3}" name="Video Title"/>
    <tableColumn id="4" xr3:uid="{D9ACBC98-F4D3-4B3B-8BCB-8546BB8FF858}" name="Channel"/>
    <tableColumn id="5" xr3:uid="{B9C54466-5F68-4773-BDE2-FD2F8AD06D04}" name="Category"/>
    <tableColumn id="6" xr3:uid="{3D093701-8691-42E3-9B9A-80B1F9FD6CA3}" name="Duration (min)" totalsRowLabel="a">
      <calculatedColumnFormula>RANDBETWEEN(1,3)</calculatedColumnFormula>
    </tableColumn>
    <tableColumn id="9" xr3:uid="{9E5826AB-0664-4B24-B0DD-098777BF866B}" name="Month" totalsRowFunction="count">
      <calculatedColumnFormula>TEXT(A2,"mmm-yyyy")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37FF-488B-4D5C-AA11-73AAFAA3D8E1}">
  <dimension ref="A2:I54"/>
  <sheetViews>
    <sheetView showGridLines="0" tabSelected="1" topLeftCell="A18" zoomScale="73" zoomScaleNormal="73" workbookViewId="0">
      <selection activeCell="P37" sqref="P37"/>
    </sheetView>
  </sheetViews>
  <sheetFormatPr defaultRowHeight="14.4" x14ac:dyDescent="0.3"/>
  <cols>
    <col min="2" max="2" width="45" bestFit="1" customWidth="1"/>
    <col min="3" max="4" width="8.88671875" customWidth="1"/>
    <col min="7" max="7" width="8.88671875" customWidth="1"/>
    <col min="9" max="9" width="13.33203125" bestFit="1" customWidth="1"/>
  </cols>
  <sheetData>
    <row r="2" spans="1:9" ht="17.399999999999999" x14ac:dyDescent="0.3">
      <c r="A2" s="8" t="e" vm="1">
        <v>#VALUE!</v>
      </c>
      <c r="B2" s="12" t="s">
        <v>208</v>
      </c>
      <c r="C2" s="6"/>
      <c r="D2" s="6"/>
      <c r="E2" s="7"/>
      <c r="F2" s="5"/>
    </row>
    <row r="3" spans="1:9" x14ac:dyDescent="0.3">
      <c r="B3" s="18" t="s">
        <v>210</v>
      </c>
    </row>
    <row r="4" spans="1:9" ht="21" x14ac:dyDescent="0.4">
      <c r="B4" s="10">
        <f>COUNTA(Video_Title)</f>
        <v>199</v>
      </c>
      <c r="C4" s="9"/>
      <c r="D4" s="10">
        <f ca="1">SUM(Duration__min)</f>
        <v>404</v>
      </c>
      <c r="E4" s="9"/>
      <c r="F4" s="9"/>
      <c r="G4" s="10">
        <v>11</v>
      </c>
      <c r="H4" s="9"/>
      <c r="I4" s="9"/>
    </row>
    <row r="5" spans="1:9" x14ac:dyDescent="0.3">
      <c r="B5" s="11"/>
      <c r="C5" s="9"/>
      <c r="D5" s="9"/>
      <c r="E5" s="9"/>
      <c r="F5" s="9"/>
      <c r="G5" s="9"/>
      <c r="H5" s="9"/>
      <c r="I5" s="9"/>
    </row>
    <row r="6" spans="1:9" x14ac:dyDescent="0.3">
      <c r="B6" s="11" t="s">
        <v>209</v>
      </c>
      <c r="C6" s="9"/>
      <c r="D6" s="9" t="s">
        <v>212</v>
      </c>
      <c r="E6" s="9"/>
      <c r="F6" s="9"/>
      <c r="G6" s="9" t="s">
        <v>213</v>
      </c>
      <c r="H6" s="9"/>
      <c r="I6" s="9"/>
    </row>
    <row r="9" spans="1:9" x14ac:dyDescent="0.3">
      <c r="B9" s="12" t="s">
        <v>215</v>
      </c>
    </row>
    <row r="10" spans="1:9" x14ac:dyDescent="0.3">
      <c r="B10" s="13" t="s">
        <v>216</v>
      </c>
      <c r="C10" s="13" t="s">
        <v>207</v>
      </c>
      <c r="D10" s="14"/>
      <c r="E10" s="13" t="s">
        <v>217</v>
      </c>
    </row>
    <row r="11" spans="1:9" x14ac:dyDescent="0.3">
      <c r="B11" s="4" t="s">
        <v>18</v>
      </c>
      <c r="C11" s="15">
        <f ca="1">COUNTIF(WatchHistory4[],B11)</f>
        <v>15</v>
      </c>
      <c r="E11">
        <f ca="1">SUMIF(Category,B11,Duration__min)</f>
        <v>25</v>
      </c>
    </row>
    <row r="12" spans="1:9" x14ac:dyDescent="0.3">
      <c r="B12" s="4" t="s">
        <v>0</v>
      </c>
      <c r="C12" s="15">
        <f ca="1">COUNTIF(WatchHistory4[],B12)</f>
        <v>11</v>
      </c>
      <c r="E12">
        <f ca="1">SUMIF(Category,B12,Duration__min)</f>
        <v>20</v>
      </c>
    </row>
    <row r="13" spans="1:9" x14ac:dyDescent="0.3">
      <c r="B13" s="4" t="s">
        <v>25</v>
      </c>
      <c r="C13" s="15">
        <f ca="1">COUNTIF(WatchHistory4[],B13)</f>
        <v>32</v>
      </c>
      <c r="E13">
        <f ca="1">SUMIF(Category,B13,Duration__min)</f>
        <v>69</v>
      </c>
    </row>
    <row r="14" spans="1:9" x14ac:dyDescent="0.3">
      <c r="B14" s="4" t="s">
        <v>10</v>
      </c>
      <c r="C14" s="15">
        <f ca="1">COUNTIF(WatchHistory4[],B14)</f>
        <v>31</v>
      </c>
      <c r="E14">
        <f ca="1">SUMIF(Category,B14,Duration__min)</f>
        <v>71</v>
      </c>
    </row>
    <row r="15" spans="1:9" x14ac:dyDescent="0.3">
      <c r="B15" s="4" t="s">
        <v>66</v>
      </c>
      <c r="C15" s="15">
        <f ca="1">COUNTIF(WatchHistory4[],B15)</f>
        <v>12</v>
      </c>
      <c r="E15">
        <f ca="1">SUMIF(Category,B15,Duration__min)</f>
        <v>24</v>
      </c>
    </row>
    <row r="16" spans="1:9" x14ac:dyDescent="0.3">
      <c r="B16" s="4" t="s">
        <v>21</v>
      </c>
      <c r="C16" s="15">
        <f ca="1">COUNTIF(WatchHistory4[],B16)</f>
        <v>8</v>
      </c>
      <c r="E16">
        <f ca="1">SUMIF(Category,B16,Duration__min)</f>
        <v>17</v>
      </c>
    </row>
    <row r="17" spans="2:5" x14ac:dyDescent="0.3">
      <c r="B17" s="4" t="s">
        <v>6</v>
      </c>
      <c r="C17" s="15">
        <f ca="1">COUNTIF(WatchHistory4[],B17)</f>
        <v>28</v>
      </c>
      <c r="E17">
        <f ca="1">SUMIF(Category,B17,Duration__min)</f>
        <v>56</v>
      </c>
    </row>
    <row r="18" spans="2:5" x14ac:dyDescent="0.3">
      <c r="B18" s="4" t="s">
        <v>13</v>
      </c>
      <c r="C18" s="15">
        <f ca="1">COUNTIF(WatchHistory4[],B18)</f>
        <v>15</v>
      </c>
      <c r="E18">
        <f ca="1">SUMIF(Category,B18,Duration__min)</f>
        <v>30</v>
      </c>
    </row>
    <row r="19" spans="2:5" x14ac:dyDescent="0.3">
      <c r="B19" s="4" t="s">
        <v>33</v>
      </c>
      <c r="C19" s="15">
        <f ca="1">COUNTIF(WatchHistory4[],B19)</f>
        <v>7</v>
      </c>
      <c r="E19">
        <f ca="1">SUMIF(Category,B19,Duration__min)</f>
        <v>14</v>
      </c>
    </row>
    <row r="20" spans="2:5" x14ac:dyDescent="0.3">
      <c r="B20" s="4" t="s">
        <v>8</v>
      </c>
      <c r="C20" s="15">
        <f ca="1">COUNTIF(WatchHistory4[],B20)</f>
        <v>26</v>
      </c>
      <c r="E20">
        <f ca="1">SUMIF(Category,B20,Duration__min)</f>
        <v>46</v>
      </c>
    </row>
    <row r="21" spans="2:5" x14ac:dyDescent="0.3">
      <c r="B21" s="4" t="s">
        <v>3</v>
      </c>
      <c r="C21" s="15">
        <f ca="1">COUNTIF(WatchHistory4[],B21)</f>
        <v>14</v>
      </c>
      <c r="E21">
        <f ca="1">SUMIF(Category,B21,Duration__min)</f>
        <v>32</v>
      </c>
    </row>
    <row r="22" spans="2:5" x14ac:dyDescent="0.3">
      <c r="C22" s="15"/>
    </row>
    <row r="24" spans="2:5" x14ac:dyDescent="0.3">
      <c r="B24" s="12" t="s">
        <v>218</v>
      </c>
    </row>
    <row r="25" spans="2:5" x14ac:dyDescent="0.3">
      <c r="B25" s="17" t="s">
        <v>131</v>
      </c>
      <c r="C25" s="16" t="s">
        <v>207</v>
      </c>
    </row>
    <row r="26" spans="2:5" x14ac:dyDescent="0.3">
      <c r="B26" s="4" t="s">
        <v>7</v>
      </c>
      <c r="C26">
        <f t="shared" ref="C26:C31" si="0">COUNTIF(Channel,B26)</f>
        <v>28</v>
      </c>
    </row>
    <row r="27" spans="2:5" x14ac:dyDescent="0.3">
      <c r="B27" s="4" t="s">
        <v>14</v>
      </c>
      <c r="C27">
        <f t="shared" si="0"/>
        <v>15</v>
      </c>
    </row>
    <row r="28" spans="2:5" x14ac:dyDescent="0.3">
      <c r="B28" s="4" t="s">
        <v>19</v>
      </c>
      <c r="C28">
        <f t="shared" si="0"/>
        <v>15</v>
      </c>
    </row>
    <row r="29" spans="2:5" x14ac:dyDescent="0.3">
      <c r="B29" s="4" t="s">
        <v>11</v>
      </c>
      <c r="C29">
        <f t="shared" si="0"/>
        <v>12</v>
      </c>
    </row>
    <row r="30" spans="2:5" x14ac:dyDescent="0.3">
      <c r="B30" s="4" t="s">
        <v>67</v>
      </c>
      <c r="C30">
        <f t="shared" si="0"/>
        <v>12</v>
      </c>
    </row>
    <row r="31" spans="2:5" x14ac:dyDescent="0.3">
      <c r="B31" s="4" t="s">
        <v>1</v>
      </c>
      <c r="C31">
        <f t="shared" si="0"/>
        <v>11</v>
      </c>
    </row>
    <row r="39" spans="2:3" x14ac:dyDescent="0.3">
      <c r="B39" s="12" t="s">
        <v>219</v>
      </c>
    </row>
    <row r="40" spans="2:3" x14ac:dyDescent="0.3">
      <c r="B40" s="17" t="s">
        <v>128</v>
      </c>
      <c r="C40" s="17" t="s">
        <v>207</v>
      </c>
    </row>
    <row r="41" spans="2:3" x14ac:dyDescent="0.3">
      <c r="B41" s="20">
        <v>45809</v>
      </c>
      <c r="C41">
        <f>COUNTIF(Month,B41)</f>
        <v>8</v>
      </c>
    </row>
    <row r="42" spans="2:3" x14ac:dyDescent="0.3">
      <c r="B42" s="20">
        <v>45839</v>
      </c>
      <c r="C42">
        <f>COUNTIF(Month,B42)</f>
        <v>10</v>
      </c>
    </row>
    <row r="43" spans="2:3" x14ac:dyDescent="0.3">
      <c r="B43" s="20">
        <v>45870</v>
      </c>
      <c r="C43">
        <f>COUNTIF(Month,B43)</f>
        <v>12</v>
      </c>
    </row>
    <row r="44" spans="2:3" x14ac:dyDescent="0.3">
      <c r="B44" s="20">
        <v>45901</v>
      </c>
      <c r="C44">
        <f>COUNTIF(Month,B44)</f>
        <v>14</v>
      </c>
    </row>
    <row r="45" spans="2:3" x14ac:dyDescent="0.3">
      <c r="B45" s="20" t="s">
        <v>235</v>
      </c>
      <c r="C45">
        <f>COUNTIF(Month,B45)</f>
        <v>0</v>
      </c>
    </row>
    <row r="46" spans="2:3" x14ac:dyDescent="0.3">
      <c r="B46" s="20">
        <v>45962</v>
      </c>
      <c r="C46">
        <f>COUNTIF(Month,B46)</f>
        <v>15</v>
      </c>
    </row>
    <row r="47" spans="2:3" x14ac:dyDescent="0.3">
      <c r="B47" s="20">
        <v>45992</v>
      </c>
      <c r="C47">
        <f>COUNTIF(Month,B47)</f>
        <v>10</v>
      </c>
    </row>
    <row r="48" spans="2:3" x14ac:dyDescent="0.3">
      <c r="B48" s="20">
        <v>46023</v>
      </c>
      <c r="C48">
        <f>COUNTIF(Month,B48)</f>
        <v>22</v>
      </c>
    </row>
    <row r="49" spans="2:3" x14ac:dyDescent="0.3">
      <c r="B49" s="20">
        <v>46054</v>
      </c>
      <c r="C49">
        <f>COUNTIF(Month,B49)</f>
        <v>17</v>
      </c>
    </row>
    <row r="50" spans="2:3" x14ac:dyDescent="0.3">
      <c r="B50" s="20">
        <v>46082</v>
      </c>
      <c r="C50">
        <f>COUNTIF(Month,B50)</f>
        <v>20</v>
      </c>
    </row>
    <row r="51" spans="2:3" x14ac:dyDescent="0.3">
      <c r="B51" s="20">
        <v>46113</v>
      </c>
      <c r="C51">
        <f>COUNTIF(Month,B51)</f>
        <v>19</v>
      </c>
    </row>
    <row r="52" spans="2:3" x14ac:dyDescent="0.3">
      <c r="B52" s="20">
        <v>46143</v>
      </c>
      <c r="C52">
        <f>COUNTIF(Month,B52)</f>
        <v>21</v>
      </c>
    </row>
    <row r="53" spans="2:3" x14ac:dyDescent="0.3">
      <c r="B53" s="20">
        <v>46174</v>
      </c>
      <c r="C53">
        <f>COUNTIF(Month,B53)</f>
        <v>15</v>
      </c>
    </row>
    <row r="54" spans="2:3" x14ac:dyDescent="0.3">
      <c r="B54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1420-848B-4C65-9E5F-ABFD63EB9B2D}">
  <dimension ref="A3:B17"/>
  <sheetViews>
    <sheetView workbookViewId="0">
      <selection activeCell="A3" sqref="A3:A17"/>
    </sheetView>
  </sheetViews>
  <sheetFormatPr defaultRowHeight="14.4" x14ac:dyDescent="0.3"/>
  <cols>
    <col min="1" max="1" width="12.5546875" bestFit="1" customWidth="1"/>
    <col min="2" max="2" width="5.88671875" bestFit="1" customWidth="1"/>
  </cols>
  <sheetData>
    <row r="3" spans="1:2" x14ac:dyDescent="0.3">
      <c r="A3" s="19" t="s">
        <v>220</v>
      </c>
      <c r="B3" t="s">
        <v>217</v>
      </c>
    </row>
    <row r="4" spans="1:2" x14ac:dyDescent="0.3">
      <c r="A4" s="4" t="s">
        <v>221</v>
      </c>
      <c r="B4" s="21">
        <v>32</v>
      </c>
    </row>
    <row r="5" spans="1:2" x14ac:dyDescent="0.3">
      <c r="A5" s="4" t="s">
        <v>222</v>
      </c>
      <c r="B5" s="21">
        <v>23</v>
      </c>
    </row>
    <row r="6" spans="1:2" x14ac:dyDescent="0.3">
      <c r="A6" s="4" t="s">
        <v>223</v>
      </c>
      <c r="B6" s="21">
        <v>26</v>
      </c>
    </row>
    <row r="7" spans="1:2" x14ac:dyDescent="0.3">
      <c r="A7" s="4" t="s">
        <v>224</v>
      </c>
      <c r="B7" s="21">
        <v>36</v>
      </c>
    </row>
    <row r="8" spans="1:2" x14ac:dyDescent="0.3">
      <c r="A8" s="4" t="s">
        <v>225</v>
      </c>
      <c r="B8" s="21">
        <v>41</v>
      </c>
    </row>
    <row r="9" spans="1:2" x14ac:dyDescent="0.3">
      <c r="A9" s="4" t="s">
        <v>226</v>
      </c>
      <c r="B9" s="21">
        <v>21</v>
      </c>
    </row>
    <row r="10" spans="1:2" x14ac:dyDescent="0.3">
      <c r="A10" s="4" t="s">
        <v>227</v>
      </c>
      <c r="B10" s="21">
        <v>13</v>
      </c>
    </row>
    <row r="11" spans="1:2" x14ac:dyDescent="0.3">
      <c r="A11" s="4" t="s">
        <v>228</v>
      </c>
      <c r="B11" s="21">
        <v>23</v>
      </c>
    </row>
    <row r="12" spans="1:2" x14ac:dyDescent="0.3">
      <c r="A12" s="4" t="s">
        <v>229</v>
      </c>
      <c r="B12" s="21">
        <v>46</v>
      </c>
    </row>
    <row r="13" spans="1:2" x14ac:dyDescent="0.3">
      <c r="A13" s="4" t="s">
        <v>230</v>
      </c>
      <c r="B13" s="21">
        <v>44</v>
      </c>
    </row>
    <row r="14" spans="1:2" x14ac:dyDescent="0.3">
      <c r="A14" s="4" t="s">
        <v>231</v>
      </c>
      <c r="B14" s="21">
        <v>28</v>
      </c>
    </row>
    <row r="15" spans="1:2" x14ac:dyDescent="0.3">
      <c r="A15" s="4" t="s">
        <v>232</v>
      </c>
      <c r="B15" s="21">
        <v>31</v>
      </c>
    </row>
    <row r="16" spans="1:2" x14ac:dyDescent="0.3">
      <c r="A16" s="4" t="s">
        <v>233</v>
      </c>
      <c r="B16" s="21">
        <v>33</v>
      </c>
    </row>
    <row r="17" spans="1:2" x14ac:dyDescent="0.3">
      <c r="A17" s="4" t="s">
        <v>234</v>
      </c>
      <c r="B17" s="2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6E90-C5AA-43F7-8356-A3AF9510EBEB}">
  <dimension ref="A1:G201"/>
  <sheetViews>
    <sheetView zoomScale="66" zoomScaleNormal="66" workbookViewId="0">
      <pane ySplit="1" topLeftCell="A2" activePane="bottomLeft" state="frozen"/>
      <selection pane="bottomLeft" activeCell="X184" sqref="X184"/>
    </sheetView>
  </sheetViews>
  <sheetFormatPr defaultColWidth="8.6640625" defaultRowHeight="14.4" x14ac:dyDescent="0.3"/>
  <cols>
    <col min="1" max="1" width="13" customWidth="1"/>
    <col min="2" max="2" width="11" customWidth="1"/>
    <col min="3" max="3" width="48" customWidth="1"/>
    <col min="4" max="4" width="27.88671875" bestFit="1" customWidth="1"/>
    <col min="5" max="5" width="20" customWidth="1"/>
    <col min="6" max="6" width="13" customWidth="1"/>
    <col min="7" max="7" width="12" customWidth="1"/>
    <col min="8" max="8" width="14" customWidth="1"/>
    <col min="9" max="9" width="11" customWidth="1"/>
  </cols>
  <sheetData>
    <row r="1" spans="1:7" x14ac:dyDescent="0.3">
      <c r="A1" s="3" t="s">
        <v>134</v>
      </c>
      <c r="B1" s="3" t="s">
        <v>133</v>
      </c>
      <c r="C1" s="3" t="s">
        <v>132</v>
      </c>
      <c r="D1" s="3" t="s">
        <v>131</v>
      </c>
      <c r="E1" s="3" t="s">
        <v>130</v>
      </c>
      <c r="F1" s="3" t="s">
        <v>129</v>
      </c>
      <c r="G1" s="3" t="s">
        <v>128</v>
      </c>
    </row>
    <row r="2" spans="1:7" x14ac:dyDescent="0.3">
      <c r="A2" s="2">
        <v>45809</v>
      </c>
      <c r="B2" s="1" t="str">
        <f>TEXT(A2,"ddd")</f>
        <v>Sun</v>
      </c>
      <c r="C2" s="1" t="s">
        <v>86</v>
      </c>
      <c r="D2" s="1" t="s">
        <v>22</v>
      </c>
      <c r="E2" s="1" t="s">
        <v>21</v>
      </c>
      <c r="F2" s="1">
        <f ca="1">RANDBETWEEN(1,3)</f>
        <v>3</v>
      </c>
      <c r="G2" s="1" t="str">
        <f>TEXT(A2,"mmm-yyyy")</f>
        <v>Jun-2025</v>
      </c>
    </row>
    <row r="3" spans="1:7" x14ac:dyDescent="0.3">
      <c r="A3" s="2">
        <v>45812</v>
      </c>
      <c r="B3" s="1" t="str">
        <f>TEXT(A3,"ddd")</f>
        <v>Wed</v>
      </c>
      <c r="C3" s="1" t="s">
        <v>127</v>
      </c>
      <c r="D3" s="1" t="s">
        <v>34</v>
      </c>
      <c r="E3" s="1" t="s">
        <v>33</v>
      </c>
      <c r="F3" s="1">
        <f ca="1">RANDBETWEEN(1,3)</f>
        <v>1</v>
      </c>
      <c r="G3" s="1" t="str">
        <f>TEXT(A3,"mmm-yyyy")</f>
        <v>Jun-2025</v>
      </c>
    </row>
    <row r="4" spans="1:7" x14ac:dyDescent="0.3">
      <c r="A4" s="2">
        <v>45813</v>
      </c>
      <c r="B4" s="1" t="str">
        <f>TEXT(A4,"ddd")</f>
        <v>Thu</v>
      </c>
      <c r="C4" s="1" t="s">
        <v>135</v>
      </c>
      <c r="D4" s="1" t="s">
        <v>1</v>
      </c>
      <c r="E4" s="1" t="s">
        <v>0</v>
      </c>
      <c r="F4" s="1">
        <f ca="1">RANDBETWEEN(1,3)</f>
        <v>3</v>
      </c>
      <c r="G4" s="1" t="str">
        <f>TEXT(A4,"mmm-yyyy")</f>
        <v>Jun-2025</v>
      </c>
    </row>
    <row r="5" spans="1:7" x14ac:dyDescent="0.3">
      <c r="A5" s="2">
        <v>45816</v>
      </c>
      <c r="B5" s="1" t="str">
        <f>TEXT(A5,"ddd")</f>
        <v>Sun</v>
      </c>
      <c r="C5" s="1" t="s">
        <v>181</v>
      </c>
      <c r="D5" s="1" t="s">
        <v>7</v>
      </c>
      <c r="E5" s="1" t="s">
        <v>6</v>
      </c>
      <c r="F5" s="1">
        <f ca="1">RANDBETWEEN(1,3)</f>
        <v>1</v>
      </c>
      <c r="G5" s="1" t="str">
        <f>TEXT(A5,"mmm-yyyy")</f>
        <v>Jun-2025</v>
      </c>
    </row>
    <row r="6" spans="1:7" x14ac:dyDescent="0.3">
      <c r="A6" s="2">
        <v>45816</v>
      </c>
      <c r="B6" s="1" t="str">
        <f>TEXT(A6,"ddd")</f>
        <v>Sun</v>
      </c>
      <c r="C6" s="1" t="s">
        <v>74</v>
      </c>
      <c r="D6" s="1" t="s">
        <v>39</v>
      </c>
      <c r="E6" s="1" t="s">
        <v>8</v>
      </c>
      <c r="F6" s="1">
        <f ca="1">RANDBETWEEN(1,3)</f>
        <v>2</v>
      </c>
      <c r="G6" s="1" t="str">
        <f>TEXT(A6,"mmm-yyyy")</f>
        <v>Jun-2025</v>
      </c>
    </row>
    <row r="7" spans="1:7" x14ac:dyDescent="0.3">
      <c r="A7" s="2">
        <v>45817</v>
      </c>
      <c r="B7" s="1" t="str">
        <f>TEXT(A7,"ddd")</f>
        <v>Mon</v>
      </c>
      <c r="C7" s="1" t="s">
        <v>182</v>
      </c>
      <c r="D7" s="1" t="s">
        <v>7</v>
      </c>
      <c r="E7" s="1" t="s">
        <v>6</v>
      </c>
      <c r="F7" s="1">
        <f ca="1">RANDBETWEEN(1,3)</f>
        <v>2</v>
      </c>
      <c r="G7" s="1" t="str">
        <f>TEXT(A7,"mmm-yyyy")</f>
        <v>Jun-2025</v>
      </c>
    </row>
    <row r="8" spans="1:7" x14ac:dyDescent="0.3">
      <c r="A8" s="2">
        <v>45829</v>
      </c>
      <c r="B8" s="1" t="str">
        <f>TEXT(A8,"ddd")</f>
        <v>Sat</v>
      </c>
      <c r="C8" s="1" t="s">
        <v>146</v>
      </c>
      <c r="D8" s="1" t="s">
        <v>19</v>
      </c>
      <c r="E8" s="1" t="s">
        <v>18</v>
      </c>
      <c r="F8" s="1">
        <f ca="1">RANDBETWEEN(1,3)</f>
        <v>2</v>
      </c>
      <c r="G8" s="1" t="str">
        <f>TEXT(A8,"mmm-yyyy")</f>
        <v>Jun-2025</v>
      </c>
    </row>
    <row r="9" spans="1:7" x14ac:dyDescent="0.3">
      <c r="A9" s="2">
        <v>45832</v>
      </c>
      <c r="B9" s="1" t="str">
        <f>TEXT(A9,"ddd")</f>
        <v>Tue</v>
      </c>
      <c r="C9" s="1" t="s">
        <v>72</v>
      </c>
      <c r="D9" s="1" t="s">
        <v>39</v>
      </c>
      <c r="E9" s="1" t="s">
        <v>8</v>
      </c>
      <c r="F9" s="1">
        <f ca="1">RANDBETWEEN(1,3)</f>
        <v>2</v>
      </c>
      <c r="G9" s="1" t="str">
        <f>TEXT(A9,"mmm-yyyy")</f>
        <v>Jun-2025</v>
      </c>
    </row>
    <row r="10" spans="1:7" x14ac:dyDescent="0.3">
      <c r="A10" s="2">
        <v>45840</v>
      </c>
      <c r="B10" s="1" t="str">
        <f>TEXT(A10,"ddd")</f>
        <v>Wed</v>
      </c>
      <c r="C10" s="1" t="s">
        <v>52</v>
      </c>
      <c r="D10" s="1" t="s">
        <v>4</v>
      </c>
      <c r="E10" s="1" t="s">
        <v>3</v>
      </c>
      <c r="F10" s="1">
        <f ca="1">RANDBETWEEN(1,3)</f>
        <v>2</v>
      </c>
      <c r="G10" s="1" t="str">
        <f>TEXT(A10,"mmm-yyyy")</f>
        <v>Jul-2025</v>
      </c>
    </row>
    <row r="11" spans="1:7" x14ac:dyDescent="0.3">
      <c r="A11" s="2">
        <v>45841</v>
      </c>
      <c r="B11" s="1" t="str">
        <f>TEXT(A11,"ddd")</f>
        <v>Thu</v>
      </c>
      <c r="C11" s="1" t="s">
        <v>64</v>
      </c>
      <c r="D11" s="1" t="s">
        <v>79</v>
      </c>
      <c r="E11" s="1" t="s">
        <v>8</v>
      </c>
      <c r="F11" s="1">
        <f ca="1">RANDBETWEEN(1,3)</f>
        <v>2</v>
      </c>
      <c r="G11" s="1" t="str">
        <f>TEXT(A11,"mmm-yyyy")</f>
        <v>Jul-2025</v>
      </c>
    </row>
    <row r="12" spans="1:7" x14ac:dyDescent="0.3">
      <c r="A12" s="2">
        <v>45842</v>
      </c>
      <c r="B12" s="1" t="str">
        <f>TEXT(A12,"ddd")</f>
        <v>Fri</v>
      </c>
      <c r="C12" s="1" t="s">
        <v>100</v>
      </c>
      <c r="D12" s="1" t="s">
        <v>79</v>
      </c>
      <c r="E12" s="1" t="s">
        <v>8</v>
      </c>
      <c r="F12" s="1">
        <f ca="1">RANDBETWEEN(1,3)</f>
        <v>1</v>
      </c>
      <c r="G12" s="1" t="str">
        <f>TEXT(A12,"mmm-yyyy")</f>
        <v>Jul-2025</v>
      </c>
    </row>
    <row r="13" spans="1:7" x14ac:dyDescent="0.3">
      <c r="A13" s="2">
        <v>45852</v>
      </c>
      <c r="B13" s="1" t="str">
        <f>TEXT(A13,"ddd")</f>
        <v>Mon</v>
      </c>
      <c r="C13" s="1" t="s">
        <v>147</v>
      </c>
      <c r="D13" s="1" t="s">
        <v>19</v>
      </c>
      <c r="E13" s="1" t="s">
        <v>18</v>
      </c>
      <c r="F13" s="1">
        <f ca="1">RANDBETWEEN(1,3)</f>
        <v>1</v>
      </c>
      <c r="G13" s="1" t="str">
        <f>TEXT(A13,"mmm-yyyy")</f>
        <v>Jul-2025</v>
      </c>
    </row>
    <row r="14" spans="1:7" x14ac:dyDescent="0.3">
      <c r="A14" s="2">
        <v>45856</v>
      </c>
      <c r="B14" s="1" t="str">
        <f>TEXT(A14,"ddd")</f>
        <v>Fri</v>
      </c>
      <c r="C14" s="1" t="s">
        <v>126</v>
      </c>
      <c r="D14" s="1" t="s">
        <v>28</v>
      </c>
      <c r="E14" s="1" t="s">
        <v>10</v>
      </c>
      <c r="F14" s="1">
        <f ca="1">RANDBETWEEN(1,3)</f>
        <v>3</v>
      </c>
      <c r="G14" s="1" t="str">
        <f>TEXT(A14,"mmm-yyyy")</f>
        <v>Jul-2025</v>
      </c>
    </row>
    <row r="15" spans="1:7" x14ac:dyDescent="0.3">
      <c r="A15" s="2">
        <v>45857</v>
      </c>
      <c r="B15" s="1" t="str">
        <f>TEXT(A15,"ddd")</f>
        <v>Sat</v>
      </c>
      <c r="C15" s="1" t="s">
        <v>136</v>
      </c>
      <c r="D15" s="1" t="s">
        <v>1</v>
      </c>
      <c r="E15" s="1" t="s">
        <v>0</v>
      </c>
      <c r="F15" s="1">
        <f ca="1">RANDBETWEEN(1,3)</f>
        <v>2</v>
      </c>
      <c r="G15" s="1" t="str">
        <f>TEXT(A15,"mmm-yyyy")</f>
        <v>Jul-2025</v>
      </c>
    </row>
    <row r="16" spans="1:7" x14ac:dyDescent="0.3">
      <c r="A16" s="2">
        <v>45860</v>
      </c>
      <c r="B16" s="1" t="str">
        <f>TEXT(A16,"ddd")</f>
        <v>Tue</v>
      </c>
      <c r="C16" s="1" t="s">
        <v>148</v>
      </c>
      <c r="D16" s="1" t="s">
        <v>19</v>
      </c>
      <c r="E16" s="1" t="s">
        <v>18</v>
      </c>
      <c r="F16" s="1">
        <f ca="1">RANDBETWEEN(1,3)</f>
        <v>3</v>
      </c>
      <c r="G16" s="1" t="str">
        <f>TEXT(A16,"mmm-yyyy")</f>
        <v>Jul-2025</v>
      </c>
    </row>
    <row r="17" spans="1:7" x14ac:dyDescent="0.3">
      <c r="A17" s="2">
        <v>45862</v>
      </c>
      <c r="B17" s="1" t="str">
        <f>TEXT(A17,"ddd")</f>
        <v>Thu</v>
      </c>
      <c r="C17" s="1" t="s">
        <v>49</v>
      </c>
      <c r="D17" s="1" t="s">
        <v>4</v>
      </c>
      <c r="E17" s="1" t="s">
        <v>3</v>
      </c>
      <c r="F17" s="1">
        <f ca="1">RANDBETWEEN(1,3)</f>
        <v>2</v>
      </c>
      <c r="G17" s="1" t="str">
        <f>TEXT(A17,"mmm-yyyy")</f>
        <v>Jul-2025</v>
      </c>
    </row>
    <row r="18" spans="1:7" x14ac:dyDescent="0.3">
      <c r="A18" s="2">
        <v>45862</v>
      </c>
      <c r="B18" s="1" t="str">
        <f>TEXT(A18,"ddd")</f>
        <v>Thu</v>
      </c>
      <c r="C18" s="1" t="s">
        <v>88</v>
      </c>
      <c r="D18" s="1" t="s">
        <v>48</v>
      </c>
      <c r="E18" s="1" t="s">
        <v>25</v>
      </c>
      <c r="F18" s="1">
        <f ca="1">RANDBETWEEN(1,3)</f>
        <v>1</v>
      </c>
      <c r="G18" s="1" t="str">
        <f>TEXT(A18,"mmm-yyyy")</f>
        <v>Jul-2025</v>
      </c>
    </row>
    <row r="19" spans="1:7" x14ac:dyDescent="0.3">
      <c r="A19" s="2">
        <v>45867</v>
      </c>
      <c r="B19" s="1" t="str">
        <f>TEXT(A19,"ddd")</f>
        <v>Tue</v>
      </c>
      <c r="C19" s="1" t="s">
        <v>125</v>
      </c>
      <c r="D19" s="1" t="s">
        <v>11</v>
      </c>
      <c r="E19" s="1" t="s">
        <v>10</v>
      </c>
      <c r="F19" s="1">
        <f ca="1">RANDBETWEEN(1,3)</f>
        <v>1</v>
      </c>
      <c r="G19" s="1" t="str">
        <f>TEXT(A19,"mmm-yyyy")</f>
        <v>Jul-2025</v>
      </c>
    </row>
    <row r="20" spans="1:7" x14ac:dyDescent="0.3">
      <c r="A20" s="2">
        <v>45870</v>
      </c>
      <c r="B20" s="1" t="str">
        <f>TEXT(A20,"ddd")</f>
        <v>Fri</v>
      </c>
      <c r="C20" s="1" t="s">
        <v>183</v>
      </c>
      <c r="D20" s="1" t="s">
        <v>7</v>
      </c>
      <c r="E20" s="1" t="s">
        <v>6</v>
      </c>
      <c r="F20" s="1">
        <f ca="1">RANDBETWEEN(1,3)</f>
        <v>1</v>
      </c>
      <c r="G20" s="1" t="str">
        <f>TEXT(A20,"mmm-yyyy")</f>
        <v>Aug-2025</v>
      </c>
    </row>
    <row r="21" spans="1:7" x14ac:dyDescent="0.3">
      <c r="A21" s="2">
        <v>45870</v>
      </c>
      <c r="B21" s="1" t="str">
        <f>TEXT(A21,"ddd")</f>
        <v>Fri</v>
      </c>
      <c r="C21" s="1" t="s">
        <v>124</v>
      </c>
      <c r="D21" s="1" t="s">
        <v>42</v>
      </c>
      <c r="E21" s="1" t="s">
        <v>10</v>
      </c>
      <c r="F21" s="1">
        <f ca="1">RANDBETWEEN(1,3)</f>
        <v>3</v>
      </c>
      <c r="G21" s="1" t="str">
        <f>TEXT(A21,"mmm-yyyy")</f>
        <v>Aug-2025</v>
      </c>
    </row>
    <row r="22" spans="1:7" x14ac:dyDescent="0.3">
      <c r="A22" s="2">
        <v>45872</v>
      </c>
      <c r="B22" s="1" t="str">
        <f>TEXT(A22,"ddd")</f>
        <v>Sun</v>
      </c>
      <c r="C22" s="1" t="s">
        <v>149</v>
      </c>
      <c r="D22" s="1" t="s">
        <v>19</v>
      </c>
      <c r="E22" s="1" t="s">
        <v>18</v>
      </c>
      <c r="F22" s="1">
        <f ca="1">RANDBETWEEN(1,3)</f>
        <v>2</v>
      </c>
      <c r="G22" s="1" t="str">
        <f>TEXT(A22,"mmm-yyyy")</f>
        <v>Aug-2025</v>
      </c>
    </row>
    <row r="23" spans="1:7" x14ac:dyDescent="0.3">
      <c r="A23" s="2">
        <v>45876</v>
      </c>
      <c r="B23" s="1" t="str">
        <f>TEXT(A23,"ddd")</f>
        <v>Thu</v>
      </c>
      <c r="C23" s="1" t="s">
        <v>122</v>
      </c>
      <c r="D23" s="1" t="s">
        <v>22</v>
      </c>
      <c r="E23" s="1" t="s">
        <v>21</v>
      </c>
      <c r="F23" s="1">
        <f ca="1">RANDBETWEEN(1,3)</f>
        <v>3</v>
      </c>
      <c r="G23" s="1" t="str">
        <f>TEXT(A23,"mmm-yyyy")</f>
        <v>Aug-2025</v>
      </c>
    </row>
    <row r="24" spans="1:7" x14ac:dyDescent="0.3">
      <c r="A24" s="2">
        <v>45876</v>
      </c>
      <c r="B24" s="1" t="str">
        <f>TEXT(A24,"ddd")</f>
        <v>Thu</v>
      </c>
      <c r="C24" s="1" t="s">
        <v>123</v>
      </c>
      <c r="D24" s="1" t="s">
        <v>14</v>
      </c>
      <c r="E24" s="1" t="s">
        <v>13</v>
      </c>
      <c r="F24" s="1">
        <f ca="1">RANDBETWEEN(1,3)</f>
        <v>2</v>
      </c>
      <c r="G24" s="1" t="str">
        <f>TEXT(A24,"mmm-yyyy")</f>
        <v>Aug-2025</v>
      </c>
    </row>
    <row r="25" spans="1:7" x14ac:dyDescent="0.3">
      <c r="A25" s="2">
        <v>45877</v>
      </c>
      <c r="B25" s="1" t="str">
        <f>TEXT(A25,"ddd")</f>
        <v>Fri</v>
      </c>
      <c r="C25" s="1" t="s">
        <v>150</v>
      </c>
      <c r="D25" s="1" t="s">
        <v>19</v>
      </c>
      <c r="E25" s="1" t="s">
        <v>18</v>
      </c>
      <c r="F25" s="1">
        <f ca="1">RANDBETWEEN(1,3)</f>
        <v>2</v>
      </c>
      <c r="G25" s="1" t="str">
        <f>TEXT(A25,"mmm-yyyy")</f>
        <v>Aug-2025</v>
      </c>
    </row>
    <row r="26" spans="1:7" x14ac:dyDescent="0.3">
      <c r="A26" s="2">
        <v>45886</v>
      </c>
      <c r="B26" s="1" t="str">
        <f>TEXT(A26,"ddd")</f>
        <v>Sun</v>
      </c>
      <c r="C26" s="1" t="s">
        <v>32</v>
      </c>
      <c r="D26" s="1" t="s">
        <v>79</v>
      </c>
      <c r="E26" s="1" t="s">
        <v>8</v>
      </c>
      <c r="F26" s="1">
        <f ca="1">RANDBETWEEN(1,3)</f>
        <v>3</v>
      </c>
      <c r="G26" s="1" t="str">
        <f>TEXT(A26,"mmm-yyyy")</f>
        <v>Aug-2025</v>
      </c>
    </row>
    <row r="27" spans="1:7" x14ac:dyDescent="0.3">
      <c r="A27" s="2">
        <v>45887</v>
      </c>
      <c r="B27" s="1" t="str">
        <f>TEXT(A27,"ddd")</f>
        <v>Mon</v>
      </c>
      <c r="C27" s="1" t="s">
        <v>121</v>
      </c>
      <c r="D27" s="1" t="s">
        <v>79</v>
      </c>
      <c r="E27" s="1" t="s">
        <v>8</v>
      </c>
      <c r="F27" s="1">
        <f ca="1">RANDBETWEEN(1,3)</f>
        <v>1</v>
      </c>
      <c r="G27" s="1" t="str">
        <f>TEXT(A27,"mmm-yyyy")</f>
        <v>Aug-2025</v>
      </c>
    </row>
    <row r="28" spans="1:7" x14ac:dyDescent="0.3">
      <c r="A28" s="2">
        <v>45889</v>
      </c>
      <c r="B28" s="1" t="str">
        <f>TEXT(A28,"ddd")</f>
        <v>Wed</v>
      </c>
      <c r="C28" s="1" t="s">
        <v>137</v>
      </c>
      <c r="D28" s="1" t="s">
        <v>1</v>
      </c>
      <c r="E28" s="1" t="s">
        <v>0</v>
      </c>
      <c r="F28" s="1">
        <f ca="1">RANDBETWEEN(1,3)</f>
        <v>3</v>
      </c>
      <c r="G28" s="1" t="str">
        <f>TEXT(A28,"mmm-yyyy")</f>
        <v>Aug-2025</v>
      </c>
    </row>
    <row r="29" spans="1:7" x14ac:dyDescent="0.3">
      <c r="A29" s="2">
        <v>45890</v>
      </c>
      <c r="B29" s="1" t="str">
        <f>TEXT(A29,"ddd")</f>
        <v>Thu</v>
      </c>
      <c r="C29" s="1" t="s">
        <v>120</v>
      </c>
      <c r="D29" s="1" t="s">
        <v>42</v>
      </c>
      <c r="E29" s="1" t="s">
        <v>10</v>
      </c>
      <c r="F29" s="1">
        <f ca="1">RANDBETWEEN(1,3)</f>
        <v>2</v>
      </c>
      <c r="G29" s="1" t="str">
        <f>TEXT(A29,"mmm-yyyy")</f>
        <v>Aug-2025</v>
      </c>
    </row>
    <row r="30" spans="1:7" x14ac:dyDescent="0.3">
      <c r="A30" s="2">
        <v>45892</v>
      </c>
      <c r="B30" s="1" t="str">
        <f>TEXT(A30,"ddd")</f>
        <v>Sat</v>
      </c>
      <c r="C30" s="1" t="s">
        <v>119</v>
      </c>
      <c r="D30" s="1" t="s">
        <v>11</v>
      </c>
      <c r="E30" s="1" t="s">
        <v>10</v>
      </c>
      <c r="F30" s="1">
        <f ca="1">RANDBETWEEN(1,3)</f>
        <v>3</v>
      </c>
      <c r="G30" s="1" t="str">
        <f>TEXT(A30,"mmm-yyyy")</f>
        <v>Aug-2025</v>
      </c>
    </row>
    <row r="31" spans="1:7" x14ac:dyDescent="0.3">
      <c r="A31" s="2">
        <v>45892</v>
      </c>
      <c r="B31" s="1" t="str">
        <f>TEXT(A31,"ddd")</f>
        <v>Sat</v>
      </c>
      <c r="C31" s="1" t="s">
        <v>118</v>
      </c>
      <c r="D31" s="1" t="s">
        <v>14</v>
      </c>
      <c r="E31" s="1" t="s">
        <v>13</v>
      </c>
      <c r="F31" s="1">
        <f ca="1">RANDBETWEEN(1,3)</f>
        <v>2</v>
      </c>
      <c r="G31" s="1" t="str">
        <f>TEXT(A31,"mmm-yyyy")</f>
        <v>Aug-2025</v>
      </c>
    </row>
    <row r="32" spans="1:7" x14ac:dyDescent="0.3">
      <c r="A32" s="2">
        <v>45901</v>
      </c>
      <c r="B32" s="1" t="str">
        <f>TEXT(A32,"ddd")</f>
        <v>Mon</v>
      </c>
      <c r="C32" s="1" t="s">
        <v>184</v>
      </c>
      <c r="D32" s="1" t="s">
        <v>7</v>
      </c>
      <c r="E32" s="1" t="s">
        <v>6</v>
      </c>
      <c r="F32" s="1">
        <f ca="1">RANDBETWEEN(1,3)</f>
        <v>3</v>
      </c>
      <c r="G32" s="1" t="str">
        <f>TEXT(A32,"mmm-yyyy")</f>
        <v>Sep-2025</v>
      </c>
    </row>
    <row r="33" spans="1:7" x14ac:dyDescent="0.3">
      <c r="A33" s="2">
        <v>45906</v>
      </c>
      <c r="B33" s="1" t="str">
        <f>TEXT(A33,"ddd")</f>
        <v>Sat</v>
      </c>
      <c r="C33" s="1" t="s">
        <v>5</v>
      </c>
      <c r="D33" s="1" t="s">
        <v>4</v>
      </c>
      <c r="E33" s="1" t="s">
        <v>3</v>
      </c>
      <c r="F33" s="1">
        <f ca="1">RANDBETWEEN(1,3)</f>
        <v>3</v>
      </c>
      <c r="G33" s="1" t="str">
        <f>TEXT(A33,"mmm-yyyy")</f>
        <v>Sep-2025</v>
      </c>
    </row>
    <row r="34" spans="1:7" x14ac:dyDescent="0.3">
      <c r="A34" s="2">
        <v>45908</v>
      </c>
      <c r="B34" s="1" t="str">
        <f>TEXT(A34,"ddd")</f>
        <v>Mon</v>
      </c>
      <c r="C34" s="1" t="s">
        <v>2</v>
      </c>
      <c r="D34" s="1" t="s">
        <v>24</v>
      </c>
      <c r="E34" s="1" t="s">
        <v>3</v>
      </c>
      <c r="F34" s="1">
        <f ca="1">RANDBETWEEN(1,3)</f>
        <v>2</v>
      </c>
      <c r="G34" s="1" t="str">
        <f>TEXT(A34,"mmm-yyyy")</f>
        <v>Sep-2025</v>
      </c>
    </row>
    <row r="35" spans="1:7" x14ac:dyDescent="0.3">
      <c r="A35" s="2">
        <v>45909</v>
      </c>
      <c r="B35" s="1" t="str">
        <f>TEXT(A35,"ddd")</f>
        <v>Tue</v>
      </c>
      <c r="C35" s="1" t="s">
        <v>117</v>
      </c>
      <c r="D35" s="1" t="s">
        <v>11</v>
      </c>
      <c r="E35" s="1" t="s">
        <v>10</v>
      </c>
      <c r="F35" s="1">
        <f ca="1">RANDBETWEEN(1,3)</f>
        <v>3</v>
      </c>
      <c r="G35" s="1" t="str">
        <f>TEXT(A35,"mmm-yyyy")</f>
        <v>Sep-2025</v>
      </c>
    </row>
    <row r="36" spans="1:7" x14ac:dyDescent="0.3">
      <c r="A36" s="2">
        <v>45914</v>
      </c>
      <c r="B36" s="1" t="str">
        <f>TEXT(A36,"ddd")</f>
        <v>Sun</v>
      </c>
      <c r="C36" s="1" t="s">
        <v>151</v>
      </c>
      <c r="D36" s="1" t="s">
        <v>19</v>
      </c>
      <c r="E36" s="1" t="s">
        <v>18</v>
      </c>
      <c r="F36" s="1">
        <f ca="1">RANDBETWEEN(1,3)</f>
        <v>1</v>
      </c>
      <c r="G36" s="1" t="str">
        <f>TEXT(A36,"mmm-yyyy")</f>
        <v>Sep-2025</v>
      </c>
    </row>
    <row r="37" spans="1:7" x14ac:dyDescent="0.3">
      <c r="A37" s="2">
        <v>45914</v>
      </c>
      <c r="B37" s="1" t="str">
        <f>TEXT(A37,"ddd")</f>
        <v>Sun</v>
      </c>
      <c r="C37" s="1" t="s">
        <v>185</v>
      </c>
      <c r="D37" s="1" t="s">
        <v>7</v>
      </c>
      <c r="E37" s="1" t="s">
        <v>6</v>
      </c>
      <c r="F37" s="1">
        <f ca="1">RANDBETWEEN(1,3)</f>
        <v>3</v>
      </c>
      <c r="G37" s="1" t="str">
        <f>TEXT(A37,"mmm-yyyy")</f>
        <v>Sep-2025</v>
      </c>
    </row>
    <row r="38" spans="1:7" x14ac:dyDescent="0.3">
      <c r="A38" s="2">
        <v>45915</v>
      </c>
      <c r="B38" s="1" t="str">
        <f>TEXT(A38,"ddd")</f>
        <v>Mon</v>
      </c>
      <c r="C38" s="1" t="s">
        <v>27</v>
      </c>
      <c r="D38" s="1" t="s">
        <v>57</v>
      </c>
      <c r="E38" s="1" t="s">
        <v>25</v>
      </c>
      <c r="F38" s="1">
        <f ca="1">RANDBETWEEN(1,3)</f>
        <v>2</v>
      </c>
      <c r="G38" s="1" t="str">
        <f>TEXT(A38,"mmm-yyyy")</f>
        <v>Sep-2025</v>
      </c>
    </row>
    <row r="39" spans="1:7" x14ac:dyDescent="0.3">
      <c r="A39" s="2">
        <v>45918</v>
      </c>
      <c r="B39" s="1" t="str">
        <f>TEXT(A39,"ddd")</f>
        <v>Thu</v>
      </c>
      <c r="C39" s="1" t="s">
        <v>186</v>
      </c>
      <c r="D39" s="1" t="s">
        <v>7</v>
      </c>
      <c r="E39" s="1" t="s">
        <v>6</v>
      </c>
      <c r="F39" s="1">
        <f ca="1">RANDBETWEEN(1,3)</f>
        <v>3</v>
      </c>
      <c r="G39" s="1" t="str">
        <f>TEXT(A39,"mmm-yyyy")</f>
        <v>Sep-2025</v>
      </c>
    </row>
    <row r="40" spans="1:7" x14ac:dyDescent="0.3">
      <c r="A40" s="2">
        <v>45919</v>
      </c>
      <c r="B40" s="1" t="str">
        <f>TEXT(A40,"ddd")</f>
        <v>Fri</v>
      </c>
      <c r="C40" s="1" t="s">
        <v>152</v>
      </c>
      <c r="D40" s="1" t="s">
        <v>19</v>
      </c>
      <c r="E40" s="1" t="s">
        <v>18</v>
      </c>
      <c r="F40" s="1">
        <f ca="1">RANDBETWEEN(1,3)</f>
        <v>2</v>
      </c>
      <c r="G40" s="1" t="str">
        <f>TEXT(A40,"mmm-yyyy")</f>
        <v>Sep-2025</v>
      </c>
    </row>
    <row r="41" spans="1:7" x14ac:dyDescent="0.3">
      <c r="A41" s="2">
        <v>45923</v>
      </c>
      <c r="B41" s="1" t="str">
        <f>TEXT(A41,"ddd")</f>
        <v>Tue</v>
      </c>
      <c r="C41" s="1" t="s">
        <v>116</v>
      </c>
      <c r="D41" s="1" t="s">
        <v>14</v>
      </c>
      <c r="E41" s="1" t="s">
        <v>13</v>
      </c>
      <c r="F41" s="1">
        <f ca="1">RANDBETWEEN(1,3)</f>
        <v>2</v>
      </c>
      <c r="G41" s="1" t="str">
        <f>TEXT(A41,"mmm-yyyy")</f>
        <v>Sep-2025</v>
      </c>
    </row>
    <row r="42" spans="1:7" x14ac:dyDescent="0.3">
      <c r="A42" s="2">
        <v>45925</v>
      </c>
      <c r="B42" s="1" t="str">
        <f>TEXT(A42,"ddd")</f>
        <v>Thu</v>
      </c>
      <c r="C42" s="1" t="s">
        <v>96</v>
      </c>
      <c r="D42" s="1" t="s">
        <v>57</v>
      </c>
      <c r="E42" s="1" t="s">
        <v>25</v>
      </c>
      <c r="F42" s="1">
        <f ca="1">RANDBETWEEN(1,3)</f>
        <v>2</v>
      </c>
      <c r="G42" s="1" t="str">
        <f>TEXT(A42,"mmm-yyyy")</f>
        <v>Sep-2025</v>
      </c>
    </row>
    <row r="43" spans="1:7" x14ac:dyDescent="0.3">
      <c r="A43" s="2">
        <v>45926</v>
      </c>
      <c r="B43" s="1" t="str">
        <f>TEXT(A43,"ddd")</f>
        <v>Fri</v>
      </c>
      <c r="C43" s="1" t="s">
        <v>169</v>
      </c>
      <c r="D43" s="1" t="s">
        <v>67</v>
      </c>
      <c r="E43" s="1" t="s">
        <v>66</v>
      </c>
      <c r="F43" s="1">
        <f ca="1">RANDBETWEEN(1,3)</f>
        <v>3</v>
      </c>
      <c r="G43" s="1" t="str">
        <f>TEXT(A43,"mmm-yyyy")</f>
        <v>Sep-2025</v>
      </c>
    </row>
    <row r="44" spans="1:7" x14ac:dyDescent="0.3">
      <c r="A44" s="2">
        <v>45926</v>
      </c>
      <c r="B44" s="1" t="str">
        <f>TEXT(A44,"ddd")</f>
        <v>Fri</v>
      </c>
      <c r="C44" s="1" t="s">
        <v>115</v>
      </c>
      <c r="D44" s="1" t="s">
        <v>14</v>
      </c>
      <c r="E44" s="1" t="s">
        <v>13</v>
      </c>
      <c r="F44" s="1">
        <f ca="1">RANDBETWEEN(1,3)</f>
        <v>2</v>
      </c>
      <c r="G44" s="1" t="str">
        <f>TEXT(A44,"mmm-yyyy")</f>
        <v>Sep-2025</v>
      </c>
    </row>
    <row r="45" spans="1:7" x14ac:dyDescent="0.3">
      <c r="A45" s="2">
        <v>45928</v>
      </c>
      <c r="B45" s="1" t="str">
        <f>TEXT(A45,"ddd")</f>
        <v>Sun</v>
      </c>
      <c r="C45" s="1" t="s">
        <v>114</v>
      </c>
      <c r="D45" s="1" t="s">
        <v>36</v>
      </c>
      <c r="E45" s="1" t="s">
        <v>10</v>
      </c>
      <c r="F45" s="1">
        <f ca="1">RANDBETWEEN(1,3)</f>
        <v>2</v>
      </c>
      <c r="G45" s="1" t="str">
        <f>TEXT(A45,"mmm-yyyy")</f>
        <v>Sep-2025</v>
      </c>
    </row>
    <row r="46" spans="1:7" x14ac:dyDescent="0.3">
      <c r="A46" s="2">
        <v>45933</v>
      </c>
      <c r="B46" s="1" t="str">
        <f>TEXT(A46,"ddd")</f>
        <v>Fri</v>
      </c>
      <c r="C46" s="1" t="s">
        <v>113</v>
      </c>
      <c r="D46" s="1" t="s">
        <v>14</v>
      </c>
      <c r="E46" s="1" t="s">
        <v>13</v>
      </c>
      <c r="F46" s="1">
        <f ca="1">RANDBETWEEN(1,3)</f>
        <v>3</v>
      </c>
      <c r="G46" s="1" t="str">
        <f>TEXT(A46,"mmm-yyyy")</f>
        <v>Oct-2025</v>
      </c>
    </row>
    <row r="47" spans="1:7" x14ac:dyDescent="0.3">
      <c r="A47" s="2">
        <v>45934</v>
      </c>
      <c r="B47" s="1" t="str">
        <f>TEXT(A47,"ddd")</f>
        <v>Sat</v>
      </c>
      <c r="C47" s="1" t="s">
        <v>112</v>
      </c>
      <c r="D47" s="1" t="s">
        <v>14</v>
      </c>
      <c r="E47" s="1" t="s">
        <v>13</v>
      </c>
      <c r="F47" s="1">
        <f ca="1">RANDBETWEEN(1,3)</f>
        <v>2</v>
      </c>
      <c r="G47" s="1" t="str">
        <f>TEXT(A47,"mmm-yyyy")</f>
        <v>Oct-2025</v>
      </c>
    </row>
    <row r="48" spans="1:7" x14ac:dyDescent="0.3">
      <c r="A48" s="2">
        <v>45934</v>
      </c>
      <c r="B48" s="1" t="str">
        <f>TEXT(A48,"ddd")</f>
        <v>Sat</v>
      </c>
      <c r="C48" s="1" t="s">
        <v>17</v>
      </c>
      <c r="D48" s="1" t="s">
        <v>79</v>
      </c>
      <c r="E48" s="1" t="s">
        <v>8</v>
      </c>
      <c r="F48" s="1">
        <f ca="1">RANDBETWEEN(1,3)</f>
        <v>2</v>
      </c>
      <c r="G48" s="1" t="str">
        <f>TEXT(A48,"mmm-yyyy")</f>
        <v>Oct-2025</v>
      </c>
    </row>
    <row r="49" spans="1:7" x14ac:dyDescent="0.3">
      <c r="A49" s="2">
        <v>45935</v>
      </c>
      <c r="B49" s="1" t="str">
        <f>TEXT(A49,"ddd")</f>
        <v>Sun</v>
      </c>
      <c r="C49" s="1" t="s">
        <v>40</v>
      </c>
      <c r="D49" s="1" t="s">
        <v>79</v>
      </c>
      <c r="E49" s="1" t="s">
        <v>8</v>
      </c>
      <c r="F49" s="1">
        <f ca="1">RANDBETWEEN(1,3)</f>
        <v>1</v>
      </c>
      <c r="G49" s="1" t="str">
        <f>TEXT(A49,"mmm-yyyy")</f>
        <v>Oct-2025</v>
      </c>
    </row>
    <row r="50" spans="1:7" x14ac:dyDescent="0.3">
      <c r="A50" s="2">
        <v>45937</v>
      </c>
      <c r="B50" s="1" t="str">
        <f>TEXT(A50,"ddd")</f>
        <v>Tue</v>
      </c>
      <c r="C50" s="1" t="s">
        <v>111</v>
      </c>
      <c r="D50" s="1" t="s">
        <v>26</v>
      </c>
      <c r="E50" s="1" t="s">
        <v>25</v>
      </c>
      <c r="F50" s="1">
        <f ca="1">RANDBETWEEN(1,3)</f>
        <v>1</v>
      </c>
      <c r="G50" s="1" t="str">
        <f>TEXT(A50,"mmm-yyyy")</f>
        <v>Oct-2025</v>
      </c>
    </row>
    <row r="51" spans="1:7" x14ac:dyDescent="0.3">
      <c r="A51" s="2">
        <v>45939</v>
      </c>
      <c r="B51" s="1" t="str">
        <f>TEXT(A51,"ddd")</f>
        <v>Thu</v>
      </c>
      <c r="C51" s="1" t="s">
        <v>111</v>
      </c>
      <c r="D51" s="1" t="s">
        <v>50</v>
      </c>
      <c r="E51" s="1" t="s">
        <v>25</v>
      </c>
      <c r="F51" s="1">
        <f ca="1">RANDBETWEEN(1,3)</f>
        <v>3</v>
      </c>
      <c r="G51" s="1" t="str">
        <f>TEXT(A51,"mmm-yyyy")</f>
        <v>Oct-2025</v>
      </c>
    </row>
    <row r="52" spans="1:7" x14ac:dyDescent="0.3">
      <c r="A52" s="2">
        <v>45939</v>
      </c>
      <c r="B52" s="1" t="str">
        <f>TEXT(A52,"ddd")</f>
        <v>Thu</v>
      </c>
      <c r="C52" s="1" t="s">
        <v>110</v>
      </c>
      <c r="D52" s="1" t="s">
        <v>22</v>
      </c>
      <c r="E52" s="1" t="s">
        <v>21</v>
      </c>
      <c r="F52" s="1">
        <f ca="1">RANDBETWEEN(1,3)</f>
        <v>1</v>
      </c>
      <c r="G52" s="1" t="str">
        <f>TEXT(A52,"mmm-yyyy")</f>
        <v>Oct-2025</v>
      </c>
    </row>
    <row r="53" spans="1:7" x14ac:dyDescent="0.3">
      <c r="A53" s="2">
        <v>45941</v>
      </c>
      <c r="B53" s="1" t="str">
        <f>TEXT(A53,"ddd")</f>
        <v>Sat</v>
      </c>
      <c r="C53" s="1" t="s">
        <v>109</v>
      </c>
      <c r="D53" s="1" t="s">
        <v>34</v>
      </c>
      <c r="E53" s="1" t="s">
        <v>33</v>
      </c>
      <c r="F53" s="1">
        <f ca="1">RANDBETWEEN(1,3)</f>
        <v>3</v>
      </c>
      <c r="G53" s="1" t="str">
        <f>TEXT(A53,"mmm-yyyy")</f>
        <v>Oct-2025</v>
      </c>
    </row>
    <row r="54" spans="1:7" x14ac:dyDescent="0.3">
      <c r="A54" s="2">
        <v>45941</v>
      </c>
      <c r="B54" s="1" t="str">
        <f>TEXT(A54,"ddd")</f>
        <v>Sat</v>
      </c>
      <c r="C54" s="1" t="s">
        <v>58</v>
      </c>
      <c r="D54" s="1" t="s">
        <v>57</v>
      </c>
      <c r="E54" s="1" t="s">
        <v>25</v>
      </c>
      <c r="F54" s="1">
        <f ca="1">RANDBETWEEN(1,3)</f>
        <v>2</v>
      </c>
      <c r="G54" s="1" t="str">
        <f>TEXT(A54,"mmm-yyyy")</f>
        <v>Oct-2025</v>
      </c>
    </row>
    <row r="55" spans="1:7" x14ac:dyDescent="0.3">
      <c r="A55" s="2">
        <v>45942</v>
      </c>
      <c r="B55" s="1" t="str">
        <f>TEXT(A55,"ddd")</f>
        <v>Sun</v>
      </c>
      <c r="C55" s="1" t="s">
        <v>170</v>
      </c>
      <c r="D55" s="1" t="s">
        <v>67</v>
      </c>
      <c r="E55" s="1" t="s">
        <v>66</v>
      </c>
      <c r="F55" s="1">
        <f ca="1">RANDBETWEEN(1,3)</f>
        <v>2</v>
      </c>
      <c r="G55" s="1" t="str">
        <f>TEXT(A55,"mmm-yyyy")</f>
        <v>Oct-2025</v>
      </c>
    </row>
    <row r="56" spans="1:7" x14ac:dyDescent="0.3">
      <c r="A56" s="2">
        <v>45942</v>
      </c>
      <c r="B56" s="1" t="str">
        <f>TEXT(A56,"ddd")</f>
        <v>Sun</v>
      </c>
      <c r="C56" s="1" t="s">
        <v>187</v>
      </c>
      <c r="D56" s="1" t="s">
        <v>7</v>
      </c>
      <c r="E56" s="1" t="s">
        <v>6</v>
      </c>
      <c r="F56" s="1">
        <f ca="1">RANDBETWEEN(1,3)</f>
        <v>2</v>
      </c>
      <c r="G56" s="1" t="str">
        <f>TEXT(A56,"mmm-yyyy")</f>
        <v>Oct-2025</v>
      </c>
    </row>
    <row r="57" spans="1:7" x14ac:dyDescent="0.3">
      <c r="A57" s="2">
        <v>45943</v>
      </c>
      <c r="B57" s="1" t="str">
        <f>TEXT(A57,"ddd")</f>
        <v>Mon</v>
      </c>
      <c r="C57" s="1" t="s">
        <v>108</v>
      </c>
      <c r="D57" s="1" t="s">
        <v>16</v>
      </c>
      <c r="E57" s="1" t="s">
        <v>8</v>
      </c>
      <c r="F57" s="1">
        <f ca="1">RANDBETWEEN(1,3)</f>
        <v>1</v>
      </c>
      <c r="G57" s="1" t="str">
        <f>TEXT(A57,"mmm-yyyy")</f>
        <v>Oct-2025</v>
      </c>
    </row>
    <row r="58" spans="1:7" x14ac:dyDescent="0.3">
      <c r="A58" s="2">
        <v>45950</v>
      </c>
      <c r="B58" s="1" t="str">
        <f>TEXT(A58,"ddd")</f>
        <v>Mon</v>
      </c>
      <c r="C58" s="1" t="s">
        <v>171</v>
      </c>
      <c r="D58" s="1" t="s">
        <v>67</v>
      </c>
      <c r="E58" s="1" t="s">
        <v>66</v>
      </c>
      <c r="F58" s="1">
        <f ca="1">RANDBETWEEN(1,3)</f>
        <v>2</v>
      </c>
      <c r="G58" s="1" t="str">
        <f>TEXT(A58,"mmm-yyyy")</f>
        <v>Oct-2025</v>
      </c>
    </row>
    <row r="59" spans="1:7" x14ac:dyDescent="0.3">
      <c r="A59" s="2">
        <v>45955</v>
      </c>
      <c r="B59" s="1" t="str">
        <f>TEXT(A59,"ddd")</f>
        <v>Sat</v>
      </c>
      <c r="C59" s="1" t="s">
        <v>107</v>
      </c>
      <c r="D59" s="1" t="s">
        <v>11</v>
      </c>
      <c r="E59" s="1" t="s">
        <v>10</v>
      </c>
      <c r="F59" s="1">
        <f ca="1">RANDBETWEEN(1,3)</f>
        <v>3</v>
      </c>
      <c r="G59" s="1" t="str">
        <f>TEXT(A59,"mmm-yyyy")</f>
        <v>Oct-2025</v>
      </c>
    </row>
    <row r="60" spans="1:7" x14ac:dyDescent="0.3">
      <c r="A60" s="2">
        <v>45958</v>
      </c>
      <c r="B60" s="1" t="str">
        <f>TEXT(A60,"ddd")</f>
        <v>Tue</v>
      </c>
      <c r="C60" s="1" t="s">
        <v>172</v>
      </c>
      <c r="D60" s="1" t="s">
        <v>67</v>
      </c>
      <c r="E60" s="1" t="s">
        <v>66</v>
      </c>
      <c r="F60" s="1">
        <f ca="1">RANDBETWEEN(1,3)</f>
        <v>3</v>
      </c>
      <c r="G60" s="1" t="str">
        <f>TEXT(A60,"mmm-yyyy")</f>
        <v>Oct-2025</v>
      </c>
    </row>
    <row r="61" spans="1:7" x14ac:dyDescent="0.3">
      <c r="A61" s="2">
        <v>45961</v>
      </c>
      <c r="B61" s="1" t="str">
        <f>TEXT(A61,"ddd")</f>
        <v>Fri</v>
      </c>
      <c r="C61" s="1" t="s">
        <v>99</v>
      </c>
      <c r="D61" s="1" t="s">
        <v>4</v>
      </c>
      <c r="E61" s="1" t="s">
        <v>3</v>
      </c>
      <c r="F61" s="1">
        <f ca="1">RANDBETWEEN(1,3)</f>
        <v>1</v>
      </c>
      <c r="G61" s="1" t="str">
        <f>TEXT(A61,"mmm-yyyy")</f>
        <v>Oct-2025</v>
      </c>
    </row>
    <row r="62" spans="1:7" x14ac:dyDescent="0.3">
      <c r="A62" s="2">
        <v>45963</v>
      </c>
      <c r="B62" s="1" t="str">
        <f>TEXT(A62,"ddd")</f>
        <v>Sun</v>
      </c>
      <c r="C62" s="1" t="s">
        <v>76</v>
      </c>
      <c r="D62" s="1" t="s">
        <v>57</v>
      </c>
      <c r="E62" s="1" t="s">
        <v>25</v>
      </c>
      <c r="F62" s="1">
        <f ca="1">RANDBETWEEN(1,3)</f>
        <v>3</v>
      </c>
      <c r="G62" s="1" t="str">
        <f>TEXT(A62,"mmm-yyyy")</f>
        <v>Nov-2025</v>
      </c>
    </row>
    <row r="63" spans="1:7" x14ac:dyDescent="0.3">
      <c r="A63" s="2">
        <v>45964</v>
      </c>
      <c r="B63" s="1" t="str">
        <f>TEXT(A63,"ddd")</f>
        <v>Mon</v>
      </c>
      <c r="C63" s="1" t="s">
        <v>106</v>
      </c>
      <c r="D63" s="1" t="s">
        <v>60</v>
      </c>
      <c r="E63" s="1" t="s">
        <v>33</v>
      </c>
      <c r="F63" s="1">
        <f ca="1">RANDBETWEEN(1,3)</f>
        <v>3</v>
      </c>
      <c r="G63" s="1" t="str">
        <f>TEXT(A63,"mmm-yyyy")</f>
        <v>Nov-2025</v>
      </c>
    </row>
    <row r="64" spans="1:7" x14ac:dyDescent="0.3">
      <c r="A64" s="2">
        <v>45965</v>
      </c>
      <c r="B64" s="1" t="str">
        <f>TEXT(A64,"ddd")</f>
        <v>Tue</v>
      </c>
      <c r="C64" s="1" t="s">
        <v>112</v>
      </c>
      <c r="D64" s="1" t="s">
        <v>7</v>
      </c>
      <c r="E64" s="1" t="s">
        <v>6</v>
      </c>
      <c r="F64" s="1">
        <f ca="1">RANDBETWEEN(1,3)</f>
        <v>1</v>
      </c>
      <c r="G64" s="1" t="str">
        <f>TEXT(A64,"mmm-yyyy")</f>
        <v>Nov-2025</v>
      </c>
    </row>
    <row r="65" spans="1:7" x14ac:dyDescent="0.3">
      <c r="A65" s="2">
        <v>45971</v>
      </c>
      <c r="B65" s="1" t="str">
        <f>TEXT(A65,"ddd")</f>
        <v>Mon</v>
      </c>
      <c r="C65" s="1" t="s">
        <v>5</v>
      </c>
      <c r="D65" s="1" t="s">
        <v>24</v>
      </c>
      <c r="E65" s="1" t="s">
        <v>3</v>
      </c>
      <c r="F65" s="1">
        <f ca="1">RANDBETWEEN(1,3)</f>
        <v>2</v>
      </c>
      <c r="G65" s="1" t="str">
        <f>TEXT(A65,"mmm-yyyy")</f>
        <v>Nov-2025</v>
      </c>
    </row>
    <row r="66" spans="1:7" x14ac:dyDescent="0.3">
      <c r="A66" s="2">
        <v>45974</v>
      </c>
      <c r="B66" s="1" t="str">
        <f>TEXT(A66,"ddd")</f>
        <v>Thu</v>
      </c>
      <c r="C66" s="1" t="s">
        <v>188</v>
      </c>
      <c r="D66" s="1" t="s">
        <v>7</v>
      </c>
      <c r="E66" s="1" t="s">
        <v>6</v>
      </c>
      <c r="F66" s="1">
        <f ca="1">RANDBETWEEN(1,3)</f>
        <v>2</v>
      </c>
      <c r="G66" s="1" t="str">
        <f>TEXT(A66,"mmm-yyyy")</f>
        <v>Nov-2025</v>
      </c>
    </row>
    <row r="67" spans="1:7" x14ac:dyDescent="0.3">
      <c r="A67" s="2">
        <v>45976</v>
      </c>
      <c r="B67" s="1" t="str">
        <f>TEXT(A67,"ddd")</f>
        <v>Sat</v>
      </c>
      <c r="C67" s="1" t="s">
        <v>189</v>
      </c>
      <c r="D67" s="1" t="s">
        <v>7</v>
      </c>
      <c r="E67" s="1" t="s">
        <v>6</v>
      </c>
      <c r="F67" s="1">
        <f ca="1">RANDBETWEEN(1,3)</f>
        <v>1</v>
      </c>
      <c r="G67" s="1" t="str">
        <f>TEXT(A67,"mmm-yyyy")</f>
        <v>Nov-2025</v>
      </c>
    </row>
    <row r="68" spans="1:7" x14ac:dyDescent="0.3">
      <c r="A68" s="2">
        <v>45979</v>
      </c>
      <c r="B68" s="1" t="str">
        <f>TEXT(A68,"ddd")</f>
        <v>Tue</v>
      </c>
      <c r="C68" s="1" t="s">
        <v>89</v>
      </c>
      <c r="D68" s="1" t="s">
        <v>57</v>
      </c>
      <c r="E68" s="1" t="s">
        <v>25</v>
      </c>
      <c r="F68" s="1">
        <f ca="1">RANDBETWEEN(1,3)</f>
        <v>1</v>
      </c>
      <c r="G68" s="1" t="str">
        <f>TEXT(A68,"mmm-yyyy")</f>
        <v>Nov-2025</v>
      </c>
    </row>
    <row r="69" spans="1:7" x14ac:dyDescent="0.3">
      <c r="A69" s="2">
        <v>45979</v>
      </c>
      <c r="B69" s="1" t="str">
        <f>TEXT(A69,"ddd")</f>
        <v>Tue</v>
      </c>
      <c r="C69" s="1" t="s">
        <v>58</v>
      </c>
      <c r="D69" s="1" t="s">
        <v>57</v>
      </c>
      <c r="E69" s="1" t="s">
        <v>25</v>
      </c>
      <c r="F69" s="1">
        <f ca="1">RANDBETWEEN(1,3)</f>
        <v>2</v>
      </c>
      <c r="G69" s="1" t="str">
        <f>TEXT(A69,"mmm-yyyy")</f>
        <v>Nov-2025</v>
      </c>
    </row>
    <row r="70" spans="1:7" x14ac:dyDescent="0.3">
      <c r="A70" s="2">
        <v>45981</v>
      </c>
      <c r="B70" s="1" t="str">
        <f>TEXT(A70,"ddd")</f>
        <v>Thu</v>
      </c>
      <c r="C70" s="1" t="s">
        <v>105</v>
      </c>
      <c r="D70" s="1" t="s">
        <v>60</v>
      </c>
      <c r="E70" s="1" t="s">
        <v>33</v>
      </c>
      <c r="F70" s="1">
        <f ca="1">RANDBETWEEN(1,3)</f>
        <v>2</v>
      </c>
      <c r="G70" s="1" t="str">
        <f>TEXT(A70,"mmm-yyyy")</f>
        <v>Nov-2025</v>
      </c>
    </row>
    <row r="71" spans="1:7" x14ac:dyDescent="0.3">
      <c r="A71" s="2">
        <v>45982</v>
      </c>
      <c r="B71" s="1" t="str">
        <f>TEXT(A71,"ddd")</f>
        <v>Fri</v>
      </c>
      <c r="C71" s="1" t="s">
        <v>77</v>
      </c>
      <c r="D71" s="1" t="s">
        <v>22</v>
      </c>
      <c r="E71" s="1" t="s">
        <v>21</v>
      </c>
      <c r="F71" s="1">
        <f ca="1">RANDBETWEEN(1,3)</f>
        <v>1</v>
      </c>
      <c r="G71" s="1" t="str">
        <f>TEXT(A71,"mmm-yyyy")</f>
        <v>Nov-2025</v>
      </c>
    </row>
    <row r="72" spans="1:7" x14ac:dyDescent="0.3">
      <c r="A72" s="2">
        <v>45985</v>
      </c>
      <c r="B72" s="1" t="str">
        <f>TEXT(A72,"ddd")</f>
        <v>Mon</v>
      </c>
      <c r="C72" s="1" t="s">
        <v>156</v>
      </c>
      <c r="D72" s="1" t="s">
        <v>19</v>
      </c>
      <c r="E72" s="1" t="s">
        <v>18</v>
      </c>
      <c r="F72" s="1">
        <f ca="1">RANDBETWEEN(1,3)</f>
        <v>2</v>
      </c>
      <c r="G72" s="1" t="str">
        <f>TEXT(A72,"mmm-yyyy")</f>
        <v>Nov-2025</v>
      </c>
    </row>
    <row r="73" spans="1:7" x14ac:dyDescent="0.3">
      <c r="A73" s="2">
        <v>45987</v>
      </c>
      <c r="B73" s="1" t="str">
        <f>TEXT(A73,"ddd")</f>
        <v>Wed</v>
      </c>
      <c r="C73" s="1" t="s">
        <v>88</v>
      </c>
      <c r="D73" s="1" t="s">
        <v>50</v>
      </c>
      <c r="E73" s="1" t="s">
        <v>25</v>
      </c>
      <c r="F73" s="1">
        <f ca="1">RANDBETWEEN(1,3)</f>
        <v>1</v>
      </c>
      <c r="G73" s="1" t="str">
        <f>TEXT(A73,"mmm-yyyy")</f>
        <v>Nov-2025</v>
      </c>
    </row>
    <row r="74" spans="1:7" x14ac:dyDescent="0.3">
      <c r="A74" s="2">
        <v>45988</v>
      </c>
      <c r="B74" s="1" t="str">
        <f>TEXT(A74,"ddd")</f>
        <v>Thu</v>
      </c>
      <c r="C74" s="1" t="s">
        <v>104</v>
      </c>
      <c r="D74" s="1" t="s">
        <v>14</v>
      </c>
      <c r="E74" s="1" t="s">
        <v>13</v>
      </c>
      <c r="F74" s="1">
        <f ca="1">RANDBETWEEN(1,3)</f>
        <v>1</v>
      </c>
      <c r="G74" s="1" t="str">
        <f>TEXT(A74,"mmm-yyyy")</f>
        <v>Nov-2025</v>
      </c>
    </row>
    <row r="75" spans="1:7" x14ac:dyDescent="0.3">
      <c r="A75" s="2">
        <v>45990</v>
      </c>
      <c r="B75" s="1" t="str">
        <f>TEXT(A75,"ddd")</f>
        <v>Sat</v>
      </c>
      <c r="C75" s="1" t="s">
        <v>75</v>
      </c>
      <c r="D75" s="1" t="s">
        <v>30</v>
      </c>
      <c r="E75" s="1" t="s">
        <v>21</v>
      </c>
      <c r="F75" s="1">
        <f ca="1">RANDBETWEEN(1,3)</f>
        <v>3</v>
      </c>
      <c r="G75" s="1" t="str">
        <f>TEXT(A75,"mmm-yyyy")</f>
        <v>Nov-2025</v>
      </c>
    </row>
    <row r="76" spans="1:7" x14ac:dyDescent="0.3">
      <c r="A76" s="2">
        <v>45991</v>
      </c>
      <c r="B76" s="1" t="str">
        <f>TEXT(A76,"ddd")</f>
        <v>Sun</v>
      </c>
      <c r="C76" s="1" t="s">
        <v>103</v>
      </c>
      <c r="D76" s="1" t="s">
        <v>11</v>
      </c>
      <c r="E76" s="1" t="s">
        <v>10</v>
      </c>
      <c r="F76" s="1">
        <f ca="1">RANDBETWEEN(1,3)</f>
        <v>3</v>
      </c>
      <c r="G76" s="1" t="str">
        <f>TEXT(A76,"mmm-yyyy")</f>
        <v>Nov-2025</v>
      </c>
    </row>
    <row r="77" spans="1:7" x14ac:dyDescent="0.3">
      <c r="A77" s="2">
        <v>45993</v>
      </c>
      <c r="B77" s="1" t="str">
        <f>TEXT(A77,"ddd")</f>
        <v>Tue</v>
      </c>
      <c r="C77" s="1" t="s">
        <v>173</v>
      </c>
      <c r="D77" s="1" t="s">
        <v>67</v>
      </c>
      <c r="E77" s="1" t="s">
        <v>66</v>
      </c>
      <c r="F77" s="1">
        <f ca="1">RANDBETWEEN(1,3)</f>
        <v>1</v>
      </c>
      <c r="G77" s="1" t="str">
        <f>TEXT(A77,"mmm-yyyy")</f>
        <v>Dec-2025</v>
      </c>
    </row>
    <row r="78" spans="1:7" x14ac:dyDescent="0.3">
      <c r="A78" s="2">
        <v>45994</v>
      </c>
      <c r="B78" s="1" t="str">
        <f>TEXT(A78,"ddd")</f>
        <v>Wed</v>
      </c>
      <c r="C78" s="1" t="s">
        <v>138</v>
      </c>
      <c r="D78" s="1" t="s">
        <v>1</v>
      </c>
      <c r="E78" s="1" t="s">
        <v>0</v>
      </c>
      <c r="F78" s="1">
        <f ca="1">RANDBETWEEN(1,3)</f>
        <v>1</v>
      </c>
      <c r="G78" s="1" t="str">
        <f>TEXT(A78,"mmm-yyyy")</f>
        <v>Dec-2025</v>
      </c>
    </row>
    <row r="79" spans="1:7" x14ac:dyDescent="0.3">
      <c r="A79" s="2">
        <v>45998</v>
      </c>
      <c r="B79" s="1" t="str">
        <f>TEXT(A79,"ddd")</f>
        <v>Sun</v>
      </c>
      <c r="C79" s="1" t="s">
        <v>102</v>
      </c>
      <c r="D79" s="1" t="s">
        <v>14</v>
      </c>
      <c r="E79" s="1" t="s">
        <v>13</v>
      </c>
      <c r="F79" s="1">
        <f ca="1">RANDBETWEEN(1,3)</f>
        <v>1</v>
      </c>
      <c r="G79" s="1" t="str">
        <f>TEXT(A79,"mmm-yyyy")</f>
        <v>Dec-2025</v>
      </c>
    </row>
    <row r="80" spans="1:7" x14ac:dyDescent="0.3">
      <c r="A80" s="2">
        <v>45999</v>
      </c>
      <c r="B80" s="1" t="str">
        <f>TEXT(A80,"ddd")</f>
        <v>Mon</v>
      </c>
      <c r="C80" s="1" t="s">
        <v>101</v>
      </c>
      <c r="D80" s="1" t="s">
        <v>53</v>
      </c>
      <c r="E80" s="1" t="s">
        <v>25</v>
      </c>
      <c r="F80" s="1">
        <f ca="1">RANDBETWEEN(1,3)</f>
        <v>2</v>
      </c>
      <c r="G80" s="1" t="str">
        <f>TEXT(A80,"mmm-yyyy")</f>
        <v>Dec-2025</v>
      </c>
    </row>
    <row r="81" spans="1:7" x14ac:dyDescent="0.3">
      <c r="A81" s="2">
        <v>46003</v>
      </c>
      <c r="B81" s="1" t="str">
        <f>TEXT(A81,"ddd")</f>
        <v>Fri</v>
      </c>
      <c r="C81" s="1" t="s">
        <v>190</v>
      </c>
      <c r="D81" s="1" t="s">
        <v>7</v>
      </c>
      <c r="E81" s="1" t="s">
        <v>6</v>
      </c>
      <c r="F81" s="1">
        <f ca="1">RANDBETWEEN(1,3)</f>
        <v>3</v>
      </c>
      <c r="G81" s="1" t="str">
        <f>TEXT(A81,"mmm-yyyy")</f>
        <v>Dec-2025</v>
      </c>
    </row>
    <row r="82" spans="1:7" x14ac:dyDescent="0.3">
      <c r="A82" s="2">
        <v>46010</v>
      </c>
      <c r="B82" s="1" t="str">
        <f>TEXT(A82,"ddd")</f>
        <v>Fri</v>
      </c>
      <c r="C82" s="1" t="s">
        <v>99</v>
      </c>
      <c r="D82" s="1" t="s">
        <v>4</v>
      </c>
      <c r="E82" s="1" t="s">
        <v>3</v>
      </c>
      <c r="F82" s="1">
        <f ca="1">RANDBETWEEN(1,3)</f>
        <v>3</v>
      </c>
      <c r="G82" s="1" t="str">
        <f>TEXT(A82,"mmm-yyyy")</f>
        <v>Dec-2025</v>
      </c>
    </row>
    <row r="83" spans="1:7" x14ac:dyDescent="0.3">
      <c r="A83" s="2">
        <v>46013</v>
      </c>
      <c r="B83" s="1" t="str">
        <f>TEXT(A83,"ddd")</f>
        <v>Mon</v>
      </c>
      <c r="C83" s="1" t="s">
        <v>98</v>
      </c>
      <c r="D83" s="1" t="s">
        <v>28</v>
      </c>
      <c r="E83" s="1" t="s">
        <v>10</v>
      </c>
      <c r="F83" s="1">
        <f ca="1">RANDBETWEEN(1,3)</f>
        <v>3</v>
      </c>
      <c r="G83" s="1" t="str">
        <f>TEXT(A83,"mmm-yyyy")</f>
        <v>Dec-2025</v>
      </c>
    </row>
    <row r="84" spans="1:7" x14ac:dyDescent="0.3">
      <c r="A84" s="2">
        <v>46014</v>
      </c>
      <c r="B84" s="1" t="str">
        <f>TEXT(A84,"ddd")</f>
        <v>Tue</v>
      </c>
      <c r="C84" s="1" t="s">
        <v>58</v>
      </c>
      <c r="D84" s="1" t="s">
        <v>26</v>
      </c>
      <c r="E84" s="1" t="s">
        <v>25</v>
      </c>
      <c r="F84" s="1">
        <f ca="1">RANDBETWEEN(1,3)</f>
        <v>3</v>
      </c>
      <c r="G84" s="1" t="str">
        <f>TEXT(A84,"mmm-yyyy")</f>
        <v>Dec-2025</v>
      </c>
    </row>
    <row r="85" spans="1:7" x14ac:dyDescent="0.3">
      <c r="A85" s="2">
        <v>46016</v>
      </c>
      <c r="B85" s="1" t="str">
        <f>TEXT(A85,"ddd")</f>
        <v>Thu</v>
      </c>
      <c r="C85" s="1" t="s">
        <v>88</v>
      </c>
      <c r="D85" s="1" t="s">
        <v>53</v>
      </c>
      <c r="E85" s="1" t="s">
        <v>25</v>
      </c>
      <c r="F85" s="1">
        <f ca="1">RANDBETWEEN(1,3)</f>
        <v>2</v>
      </c>
      <c r="G85" s="1" t="str">
        <f>TEXT(A85,"mmm-yyyy")</f>
        <v>Dec-2025</v>
      </c>
    </row>
    <row r="86" spans="1:7" x14ac:dyDescent="0.3">
      <c r="A86" s="2">
        <v>46019</v>
      </c>
      <c r="B86" s="1" t="str">
        <f>TEXT(A86,"ddd")</f>
        <v>Sun</v>
      </c>
      <c r="C86" s="1" t="s">
        <v>191</v>
      </c>
      <c r="D86" s="1" t="s">
        <v>7</v>
      </c>
      <c r="E86" s="1" t="s">
        <v>6</v>
      </c>
      <c r="F86" s="1">
        <f ca="1">RANDBETWEEN(1,3)</f>
        <v>1</v>
      </c>
      <c r="G86" s="1" t="str">
        <f>TEXT(A86,"mmm-yyyy")</f>
        <v>Dec-2025</v>
      </c>
    </row>
    <row r="87" spans="1:7" x14ac:dyDescent="0.3">
      <c r="A87" s="2">
        <v>46025</v>
      </c>
      <c r="B87" s="1" t="str">
        <f>TEXT(A87,"ddd")</f>
        <v>Sat</v>
      </c>
      <c r="C87" s="1" t="s">
        <v>97</v>
      </c>
      <c r="D87" s="1" t="s">
        <v>28</v>
      </c>
      <c r="E87" s="1" t="s">
        <v>10</v>
      </c>
      <c r="F87" s="1">
        <f ca="1">RANDBETWEEN(1,3)</f>
        <v>3</v>
      </c>
      <c r="G87" s="1" t="str">
        <f>TEXT(A87,"mmm-yyyy")</f>
        <v>Jan-2026</v>
      </c>
    </row>
    <row r="88" spans="1:7" x14ac:dyDescent="0.3">
      <c r="A88" s="2">
        <v>46026</v>
      </c>
      <c r="B88" s="1" t="str">
        <f>TEXT(A88,"ddd")</f>
        <v>Sun</v>
      </c>
      <c r="C88" s="1" t="s">
        <v>96</v>
      </c>
      <c r="D88" s="1" t="s">
        <v>48</v>
      </c>
      <c r="E88" s="1" t="s">
        <v>25</v>
      </c>
      <c r="F88" s="1">
        <f ca="1">RANDBETWEEN(1,3)</f>
        <v>3</v>
      </c>
      <c r="G88" s="1" t="str">
        <f>TEXT(A88,"mmm-yyyy")</f>
        <v>Jan-2026</v>
      </c>
    </row>
    <row r="89" spans="1:7" x14ac:dyDescent="0.3">
      <c r="A89" s="2">
        <v>46028</v>
      </c>
      <c r="B89" s="1" t="str">
        <f>TEXT(A89,"ddd")</f>
        <v>Tue</v>
      </c>
      <c r="C89" s="1" t="s">
        <v>174</v>
      </c>
      <c r="D89" s="1" t="s">
        <v>67</v>
      </c>
      <c r="E89" s="1" t="s">
        <v>66</v>
      </c>
      <c r="F89" s="1">
        <f ca="1">RANDBETWEEN(1,3)</f>
        <v>2</v>
      </c>
      <c r="G89" s="1" t="str">
        <f>TEXT(A89,"mmm-yyyy")</f>
        <v>Jan-2026</v>
      </c>
    </row>
    <row r="90" spans="1:7" x14ac:dyDescent="0.3">
      <c r="A90" s="2">
        <v>46029</v>
      </c>
      <c r="B90" s="1" t="str">
        <f>TEXT(A90,"ddd")</f>
        <v>Wed</v>
      </c>
      <c r="C90" s="1" t="s">
        <v>175</v>
      </c>
      <c r="D90" s="1" t="s">
        <v>67</v>
      </c>
      <c r="E90" s="1" t="s">
        <v>66</v>
      </c>
      <c r="F90" s="1">
        <f ca="1">RANDBETWEEN(1,3)</f>
        <v>3</v>
      </c>
      <c r="G90" s="1" t="str">
        <f>TEXT(A90,"mmm-yyyy")</f>
        <v>Jan-2026</v>
      </c>
    </row>
    <row r="91" spans="1:7" x14ac:dyDescent="0.3">
      <c r="A91" s="2">
        <v>46030</v>
      </c>
      <c r="B91" s="1" t="str">
        <f>TEXT(A91,"ddd")</f>
        <v>Thu</v>
      </c>
      <c r="C91" s="1" t="s">
        <v>40</v>
      </c>
      <c r="D91" s="1" t="s">
        <v>39</v>
      </c>
      <c r="E91" s="1" t="s">
        <v>8</v>
      </c>
      <c r="F91" s="1">
        <f ca="1">RANDBETWEEN(1,3)</f>
        <v>2</v>
      </c>
      <c r="G91" s="1" t="str">
        <f>TEXT(A91,"mmm-yyyy")</f>
        <v>Jan-2026</v>
      </c>
    </row>
    <row r="92" spans="1:7" x14ac:dyDescent="0.3">
      <c r="A92" s="2">
        <v>46031</v>
      </c>
      <c r="B92" s="1" t="str">
        <f>TEXT(A92,"ddd")</f>
        <v>Fri</v>
      </c>
      <c r="C92" s="1" t="s">
        <v>56</v>
      </c>
      <c r="D92" s="1" t="s">
        <v>16</v>
      </c>
      <c r="E92" s="1" t="s">
        <v>8</v>
      </c>
      <c r="F92" s="1">
        <f ca="1">RANDBETWEEN(1,3)</f>
        <v>1</v>
      </c>
      <c r="G92" s="1" t="str">
        <f>TEXT(A92,"mmm-yyyy")</f>
        <v>Jan-2026</v>
      </c>
    </row>
    <row r="93" spans="1:7" x14ac:dyDescent="0.3">
      <c r="A93" s="2">
        <v>46031</v>
      </c>
      <c r="B93" s="1" t="str">
        <f>TEXT(A93,"ddd")</f>
        <v>Fri</v>
      </c>
      <c r="C93" s="1" t="s">
        <v>95</v>
      </c>
      <c r="D93" s="1" t="s">
        <v>14</v>
      </c>
      <c r="E93" s="1" t="s">
        <v>13</v>
      </c>
      <c r="F93" s="1">
        <f ca="1">RANDBETWEEN(1,3)</f>
        <v>1</v>
      </c>
      <c r="G93" s="1" t="str">
        <f>TEXT(A93,"mmm-yyyy")</f>
        <v>Jan-2026</v>
      </c>
    </row>
    <row r="94" spans="1:7" x14ac:dyDescent="0.3">
      <c r="A94" s="2">
        <v>46032</v>
      </c>
      <c r="B94" s="1" t="str">
        <f>TEXT(A94,"ddd")</f>
        <v>Sat</v>
      </c>
      <c r="C94" s="1" t="s">
        <v>94</v>
      </c>
      <c r="D94" s="1" t="s">
        <v>53</v>
      </c>
      <c r="E94" s="1" t="s">
        <v>25</v>
      </c>
      <c r="F94" s="1">
        <f ca="1">RANDBETWEEN(1,3)</f>
        <v>2</v>
      </c>
      <c r="G94" s="1" t="str">
        <f>TEXT(A94,"mmm-yyyy")</f>
        <v>Jan-2026</v>
      </c>
    </row>
    <row r="95" spans="1:7" x14ac:dyDescent="0.3">
      <c r="A95" s="2">
        <v>46034</v>
      </c>
      <c r="B95" s="1" t="str">
        <f>TEXT(A95,"ddd")</f>
        <v>Mon</v>
      </c>
      <c r="C95" s="1" t="s">
        <v>27</v>
      </c>
      <c r="D95" s="1" t="s">
        <v>50</v>
      </c>
      <c r="E95" s="1" t="s">
        <v>25</v>
      </c>
      <c r="F95" s="1">
        <f ca="1">RANDBETWEEN(1,3)</f>
        <v>2</v>
      </c>
      <c r="G95" s="1" t="str">
        <f>TEXT(A95,"mmm-yyyy")</f>
        <v>Jan-2026</v>
      </c>
    </row>
    <row r="96" spans="1:7" x14ac:dyDescent="0.3">
      <c r="A96" s="2">
        <v>46034</v>
      </c>
      <c r="B96" s="1" t="str">
        <f>TEXT(A96,"ddd")</f>
        <v>Mon</v>
      </c>
      <c r="C96" s="1" t="s">
        <v>176</v>
      </c>
      <c r="D96" s="1" t="s">
        <v>67</v>
      </c>
      <c r="E96" s="1" t="s">
        <v>66</v>
      </c>
      <c r="F96" s="1">
        <f ca="1">RANDBETWEEN(1,3)</f>
        <v>1</v>
      </c>
      <c r="G96" s="1" t="str">
        <f>TEXT(A96,"mmm-yyyy")</f>
        <v>Jan-2026</v>
      </c>
    </row>
    <row r="97" spans="1:7" x14ac:dyDescent="0.3">
      <c r="A97" s="2">
        <v>46034</v>
      </c>
      <c r="B97" s="1" t="str">
        <f>TEXT(A97,"ddd")</f>
        <v>Mon</v>
      </c>
      <c r="C97" s="1" t="s">
        <v>93</v>
      </c>
      <c r="D97" s="1" t="s">
        <v>36</v>
      </c>
      <c r="E97" s="1" t="s">
        <v>10</v>
      </c>
      <c r="F97" s="1">
        <f ca="1">RANDBETWEEN(1,3)</f>
        <v>1</v>
      </c>
      <c r="G97" s="1" t="str">
        <f>TEXT(A97,"mmm-yyyy")</f>
        <v>Jan-2026</v>
      </c>
    </row>
    <row r="98" spans="1:7" x14ac:dyDescent="0.3">
      <c r="A98" s="2">
        <v>46035</v>
      </c>
      <c r="B98" s="1" t="str">
        <f>TEXT(A98,"ddd")</f>
        <v>Tue</v>
      </c>
      <c r="C98" s="1" t="s">
        <v>192</v>
      </c>
      <c r="D98" s="1" t="s">
        <v>7</v>
      </c>
      <c r="E98" s="1" t="s">
        <v>6</v>
      </c>
      <c r="F98" s="1">
        <f ca="1">RANDBETWEEN(1,3)</f>
        <v>1</v>
      </c>
      <c r="G98" s="1" t="str">
        <f>TEXT(A98,"mmm-yyyy")</f>
        <v>Jan-2026</v>
      </c>
    </row>
    <row r="99" spans="1:7" x14ac:dyDescent="0.3">
      <c r="A99" s="2">
        <v>46037</v>
      </c>
      <c r="B99" s="1" t="str">
        <f>TEXT(A99,"ddd")</f>
        <v>Thu</v>
      </c>
      <c r="C99" s="1" t="s">
        <v>92</v>
      </c>
      <c r="D99" s="1" t="s">
        <v>11</v>
      </c>
      <c r="E99" s="1" t="s">
        <v>10</v>
      </c>
      <c r="F99" s="1">
        <f ca="1">RANDBETWEEN(1,3)</f>
        <v>2</v>
      </c>
      <c r="G99" s="1" t="str">
        <f>TEXT(A99,"mmm-yyyy")</f>
        <v>Jan-2026</v>
      </c>
    </row>
    <row r="100" spans="1:7" x14ac:dyDescent="0.3">
      <c r="A100" s="2">
        <v>46043</v>
      </c>
      <c r="B100" s="1" t="str">
        <f>TEXT(A100,"ddd")</f>
        <v>Wed</v>
      </c>
      <c r="C100" s="1" t="s">
        <v>139</v>
      </c>
      <c r="D100" s="1" t="s">
        <v>1</v>
      </c>
      <c r="E100" s="1" t="s">
        <v>0</v>
      </c>
      <c r="F100" s="1">
        <f ca="1">RANDBETWEEN(1,3)</f>
        <v>1</v>
      </c>
      <c r="G100" s="1" t="str">
        <f>TEXT(A100,"mmm-yyyy")</f>
        <v>Jan-2026</v>
      </c>
    </row>
    <row r="101" spans="1:7" x14ac:dyDescent="0.3">
      <c r="A101" s="2">
        <v>46043</v>
      </c>
      <c r="B101" s="1" t="str">
        <f>TEXT(A101,"ddd")</f>
        <v>Wed</v>
      </c>
      <c r="C101" s="1" t="s">
        <v>58</v>
      </c>
      <c r="D101" s="1" t="s">
        <v>53</v>
      </c>
      <c r="E101" s="1" t="s">
        <v>25</v>
      </c>
      <c r="F101" s="1">
        <f ca="1">RANDBETWEEN(1,3)</f>
        <v>3</v>
      </c>
      <c r="G101" s="1" t="str">
        <f>TEXT(A101,"mmm-yyyy")</f>
        <v>Jan-2026</v>
      </c>
    </row>
    <row r="102" spans="1:7" x14ac:dyDescent="0.3">
      <c r="A102" s="2">
        <v>46044</v>
      </c>
      <c r="B102" s="1" t="str">
        <f>TEXT(A102,"ddd")</f>
        <v>Thu</v>
      </c>
      <c r="C102" s="1" t="s">
        <v>91</v>
      </c>
      <c r="D102" s="1" t="s">
        <v>16</v>
      </c>
      <c r="E102" s="1" t="s">
        <v>8</v>
      </c>
      <c r="F102" s="1">
        <f ca="1">RANDBETWEEN(1,3)</f>
        <v>2</v>
      </c>
      <c r="G102" s="1" t="str">
        <f>TEXT(A102,"mmm-yyyy")</f>
        <v>Jan-2026</v>
      </c>
    </row>
    <row r="103" spans="1:7" x14ac:dyDescent="0.3">
      <c r="A103" s="2">
        <v>46044</v>
      </c>
      <c r="B103" s="1" t="str">
        <f>TEXT(A103,"ddd")</f>
        <v>Thu</v>
      </c>
      <c r="C103" s="1" t="s">
        <v>177</v>
      </c>
      <c r="D103" s="1" t="s">
        <v>67</v>
      </c>
      <c r="E103" s="1" t="s">
        <v>66</v>
      </c>
      <c r="F103" s="1">
        <f ca="1">RANDBETWEEN(1,3)</f>
        <v>1</v>
      </c>
      <c r="G103" s="1" t="str">
        <f>TEXT(A103,"mmm-yyyy")</f>
        <v>Jan-2026</v>
      </c>
    </row>
    <row r="104" spans="1:7" x14ac:dyDescent="0.3">
      <c r="A104" s="2">
        <v>46045</v>
      </c>
      <c r="B104" s="1" t="str">
        <f>TEXT(A104,"ddd")</f>
        <v>Fri</v>
      </c>
      <c r="C104" s="1" t="s">
        <v>90</v>
      </c>
      <c r="D104" s="1" t="s">
        <v>42</v>
      </c>
      <c r="E104" s="1" t="s">
        <v>10</v>
      </c>
      <c r="F104" s="1">
        <f ca="1">RANDBETWEEN(1,3)</f>
        <v>2</v>
      </c>
      <c r="G104" s="1" t="str">
        <f>TEXT(A104,"mmm-yyyy")</f>
        <v>Jan-2026</v>
      </c>
    </row>
    <row r="105" spans="1:7" x14ac:dyDescent="0.3">
      <c r="A105" s="2">
        <v>46049</v>
      </c>
      <c r="B105" s="1" t="str">
        <f>TEXT(A105,"ddd")</f>
        <v>Tue</v>
      </c>
      <c r="C105" s="1" t="s">
        <v>89</v>
      </c>
      <c r="D105" s="1" t="s">
        <v>26</v>
      </c>
      <c r="E105" s="1" t="s">
        <v>25</v>
      </c>
      <c r="F105" s="1">
        <f ca="1">RANDBETWEEN(1,3)</f>
        <v>2</v>
      </c>
      <c r="G105" s="1" t="str">
        <f>TEXT(A105,"mmm-yyyy")</f>
        <v>Jan-2026</v>
      </c>
    </row>
    <row r="106" spans="1:7" x14ac:dyDescent="0.3">
      <c r="A106" s="2">
        <v>46050</v>
      </c>
      <c r="B106" s="1" t="str">
        <f>TEXT(A106,"ddd")</f>
        <v>Wed</v>
      </c>
      <c r="C106" s="1" t="s">
        <v>88</v>
      </c>
      <c r="D106" s="1" t="s">
        <v>48</v>
      </c>
      <c r="E106" s="1" t="s">
        <v>25</v>
      </c>
      <c r="F106" s="1">
        <f ca="1">RANDBETWEEN(1,3)</f>
        <v>3</v>
      </c>
      <c r="G106" s="1" t="str">
        <f>TEXT(A106,"mmm-yyyy")</f>
        <v>Jan-2026</v>
      </c>
    </row>
    <row r="107" spans="1:7" x14ac:dyDescent="0.3">
      <c r="A107" s="2">
        <v>46050</v>
      </c>
      <c r="B107" s="1" t="str">
        <f>TEXT(A107,"ddd")</f>
        <v>Wed</v>
      </c>
      <c r="C107" s="1" t="s">
        <v>87</v>
      </c>
      <c r="D107" s="1" t="s">
        <v>14</v>
      </c>
      <c r="E107" s="1" t="s">
        <v>13</v>
      </c>
      <c r="F107" s="1">
        <f ca="1">RANDBETWEEN(1,3)</f>
        <v>3</v>
      </c>
      <c r="G107" s="1" t="str">
        <f>TEXT(A107,"mmm-yyyy")</f>
        <v>Jan-2026</v>
      </c>
    </row>
    <row r="108" spans="1:7" x14ac:dyDescent="0.3">
      <c r="A108" s="2">
        <v>46052</v>
      </c>
      <c r="B108" s="1" t="str">
        <f>TEXT(A108,"ddd")</f>
        <v>Fri</v>
      </c>
      <c r="C108" s="1" t="s">
        <v>193</v>
      </c>
      <c r="D108" s="1" t="s">
        <v>7</v>
      </c>
      <c r="E108" s="1" t="s">
        <v>6</v>
      </c>
      <c r="F108" s="1">
        <f ca="1">RANDBETWEEN(1,3)</f>
        <v>1</v>
      </c>
      <c r="G108" s="1" t="str">
        <f>TEXT(A108,"mmm-yyyy")</f>
        <v>Jan-2026</v>
      </c>
    </row>
    <row r="109" spans="1:7" x14ac:dyDescent="0.3">
      <c r="A109" s="2">
        <v>46056</v>
      </c>
      <c r="B109" s="1" t="str">
        <f>TEXT(A109,"ddd")</f>
        <v>Tue</v>
      </c>
      <c r="C109" s="1" t="s">
        <v>85</v>
      </c>
      <c r="D109" s="1" t="s">
        <v>59</v>
      </c>
      <c r="E109" s="1" t="s">
        <v>3</v>
      </c>
      <c r="F109" s="1">
        <f ca="1">RANDBETWEEN(1,3)</f>
        <v>1</v>
      </c>
      <c r="G109" s="1" t="str">
        <f>TEXT(A109,"mmm-yyyy")</f>
        <v>Feb-2026</v>
      </c>
    </row>
    <row r="110" spans="1:7" x14ac:dyDescent="0.3">
      <c r="A110" s="2">
        <v>46059</v>
      </c>
      <c r="B110" s="1" t="str">
        <f>TEXT(A110,"ddd")</f>
        <v>Fri</v>
      </c>
      <c r="C110" s="1" t="s">
        <v>160</v>
      </c>
      <c r="D110" s="1" t="s">
        <v>9</v>
      </c>
      <c r="E110" s="1" t="s">
        <v>8</v>
      </c>
      <c r="F110" s="1">
        <f ca="1">RANDBETWEEN(1,3)</f>
        <v>1</v>
      </c>
      <c r="G110" s="1" t="str">
        <f>TEXT(A110,"mmm-yyyy")</f>
        <v>Feb-2026</v>
      </c>
    </row>
    <row r="111" spans="1:7" x14ac:dyDescent="0.3">
      <c r="A111" s="2">
        <v>46059</v>
      </c>
      <c r="B111" s="1" t="str">
        <f>TEXT(A111,"ddd")</f>
        <v>Fri</v>
      </c>
      <c r="C111" s="1" t="s">
        <v>178</v>
      </c>
      <c r="D111" s="1" t="s">
        <v>67</v>
      </c>
      <c r="E111" s="1" t="s">
        <v>66</v>
      </c>
      <c r="F111" s="1">
        <f ca="1">RANDBETWEEN(1,3)</f>
        <v>2</v>
      </c>
      <c r="G111" s="1" t="str">
        <f>TEXT(A111,"mmm-yyyy")</f>
        <v>Feb-2026</v>
      </c>
    </row>
    <row r="112" spans="1:7" x14ac:dyDescent="0.3">
      <c r="A112" s="2">
        <v>46061</v>
      </c>
      <c r="B112" s="1" t="str">
        <f>TEXT(A112,"ddd")</f>
        <v>Sun</v>
      </c>
      <c r="C112" s="1" t="s">
        <v>80</v>
      </c>
      <c r="D112" s="1" t="s">
        <v>50</v>
      </c>
      <c r="E112" s="1" t="s">
        <v>25</v>
      </c>
      <c r="F112" s="1">
        <f ca="1">RANDBETWEEN(1,3)</f>
        <v>2</v>
      </c>
      <c r="G112" s="1" t="str">
        <f>TEXT(A112,"mmm-yyyy")</f>
        <v>Feb-2026</v>
      </c>
    </row>
    <row r="113" spans="1:7" x14ac:dyDescent="0.3">
      <c r="A113" s="2">
        <v>46062</v>
      </c>
      <c r="B113" s="1" t="str">
        <f>TEXT(A113,"ddd")</f>
        <v>Mon</v>
      </c>
      <c r="C113" s="1" t="s">
        <v>84</v>
      </c>
      <c r="D113" s="1" t="s">
        <v>11</v>
      </c>
      <c r="E113" s="1" t="s">
        <v>10</v>
      </c>
      <c r="F113" s="1">
        <f ca="1">RANDBETWEEN(1,3)</f>
        <v>3</v>
      </c>
      <c r="G113" s="1" t="str">
        <f>TEXT(A113,"mmm-yyyy")</f>
        <v>Feb-2026</v>
      </c>
    </row>
    <row r="114" spans="1:7" x14ac:dyDescent="0.3">
      <c r="A114" s="2">
        <v>46064</v>
      </c>
      <c r="B114" s="1" t="str">
        <f>TEXT(A114,"ddd")</f>
        <v>Wed</v>
      </c>
      <c r="C114" s="1" t="s">
        <v>157</v>
      </c>
      <c r="D114" s="1" t="s">
        <v>19</v>
      </c>
      <c r="E114" s="1" t="s">
        <v>18</v>
      </c>
      <c r="F114" s="1">
        <f ca="1">RANDBETWEEN(1,3)</f>
        <v>1</v>
      </c>
      <c r="G114" s="1" t="str">
        <f>TEXT(A114,"mmm-yyyy")</f>
        <v>Feb-2026</v>
      </c>
    </row>
    <row r="115" spans="1:7" x14ac:dyDescent="0.3">
      <c r="A115" s="2">
        <v>46066</v>
      </c>
      <c r="B115" s="1" t="str">
        <f>TEXT(A115,"ddd")</f>
        <v>Fri</v>
      </c>
      <c r="C115" s="1" t="s">
        <v>83</v>
      </c>
      <c r="D115" s="1" t="s">
        <v>26</v>
      </c>
      <c r="E115" s="1" t="s">
        <v>25</v>
      </c>
      <c r="F115" s="1">
        <f ca="1">RANDBETWEEN(1,3)</f>
        <v>3</v>
      </c>
      <c r="G115" s="1" t="str">
        <f>TEXT(A115,"mmm-yyyy")</f>
        <v>Feb-2026</v>
      </c>
    </row>
    <row r="116" spans="1:7" x14ac:dyDescent="0.3">
      <c r="A116" s="2">
        <v>46068</v>
      </c>
      <c r="B116" s="1" t="str">
        <f>TEXT(A116,"ddd")</f>
        <v>Sun</v>
      </c>
      <c r="C116" s="1" t="s">
        <v>82</v>
      </c>
      <c r="D116" s="1" t="s">
        <v>57</v>
      </c>
      <c r="E116" s="1" t="s">
        <v>25</v>
      </c>
      <c r="F116" s="1">
        <f ca="1">RANDBETWEEN(1,3)</f>
        <v>2</v>
      </c>
      <c r="G116" s="1" t="str">
        <f>TEXT(A116,"mmm-yyyy")</f>
        <v>Feb-2026</v>
      </c>
    </row>
    <row r="117" spans="1:7" x14ac:dyDescent="0.3">
      <c r="A117" s="2">
        <v>46071</v>
      </c>
      <c r="B117" s="1" t="str">
        <f>TEXT(A117,"ddd")</f>
        <v>Wed</v>
      </c>
      <c r="C117" s="1" t="s">
        <v>81</v>
      </c>
      <c r="D117" s="1" t="s">
        <v>11</v>
      </c>
      <c r="E117" s="1" t="s">
        <v>10</v>
      </c>
      <c r="F117" s="1">
        <f ca="1">RANDBETWEEN(1,3)</f>
        <v>3</v>
      </c>
      <c r="G117" s="1" t="str">
        <f>TEXT(A117,"mmm-yyyy")</f>
        <v>Feb-2026</v>
      </c>
    </row>
    <row r="118" spans="1:7" x14ac:dyDescent="0.3">
      <c r="A118" s="2">
        <v>46071</v>
      </c>
      <c r="B118" s="1" t="str">
        <f>TEXT(A118,"ddd")</f>
        <v>Wed</v>
      </c>
      <c r="C118" s="1" t="s">
        <v>80</v>
      </c>
      <c r="D118" s="1" t="s">
        <v>53</v>
      </c>
      <c r="E118" s="1" t="s">
        <v>25</v>
      </c>
      <c r="F118" s="1">
        <f ca="1">RANDBETWEEN(1,3)</f>
        <v>2</v>
      </c>
      <c r="G118" s="1" t="str">
        <f>TEXT(A118,"mmm-yyyy")</f>
        <v>Feb-2026</v>
      </c>
    </row>
    <row r="119" spans="1:7" x14ac:dyDescent="0.3">
      <c r="A119" s="2">
        <v>46073</v>
      </c>
      <c r="B119" s="1" t="str">
        <f>TEXT(A119,"ddd")</f>
        <v>Fri</v>
      </c>
      <c r="C119" s="1" t="s">
        <v>140</v>
      </c>
      <c r="D119" s="1" t="s">
        <v>1</v>
      </c>
      <c r="E119" s="1" t="s">
        <v>0</v>
      </c>
      <c r="F119" s="1">
        <f ca="1">RANDBETWEEN(1,3)</f>
        <v>2</v>
      </c>
      <c r="G119" s="1" t="str">
        <f>TEXT(A119,"mmm-yyyy")</f>
        <v>Feb-2026</v>
      </c>
    </row>
    <row r="120" spans="1:7" x14ac:dyDescent="0.3">
      <c r="A120" s="2">
        <v>46074</v>
      </c>
      <c r="B120" s="1" t="str">
        <f>TEXT(A120,"ddd")</f>
        <v>Sat</v>
      </c>
      <c r="C120" s="1" t="s">
        <v>56</v>
      </c>
      <c r="D120" s="1" t="s">
        <v>79</v>
      </c>
      <c r="E120" s="1" t="s">
        <v>8</v>
      </c>
      <c r="F120" s="1">
        <f ca="1">RANDBETWEEN(1,3)</f>
        <v>1</v>
      </c>
      <c r="G120" s="1" t="str">
        <f>TEXT(A120,"mmm-yyyy")</f>
        <v>Feb-2026</v>
      </c>
    </row>
    <row r="121" spans="1:7" x14ac:dyDescent="0.3">
      <c r="A121" s="2">
        <v>46074</v>
      </c>
      <c r="B121" s="1" t="str">
        <f>TEXT(A121,"ddd")</f>
        <v>Sat</v>
      </c>
      <c r="C121" s="1" t="s">
        <v>78</v>
      </c>
      <c r="D121" s="1" t="s">
        <v>53</v>
      </c>
      <c r="E121" s="1" t="s">
        <v>25</v>
      </c>
      <c r="F121" s="1">
        <f ca="1">RANDBETWEEN(1,3)</f>
        <v>3</v>
      </c>
      <c r="G121" s="1" t="str">
        <f>TEXT(A121,"mmm-yyyy")</f>
        <v>Feb-2026</v>
      </c>
    </row>
    <row r="122" spans="1:7" x14ac:dyDescent="0.3">
      <c r="A122" s="2">
        <v>46075</v>
      </c>
      <c r="B122" s="1" t="str">
        <f>TEXT(A122,"ddd")</f>
        <v>Sun</v>
      </c>
      <c r="C122" s="1" t="s">
        <v>153</v>
      </c>
      <c r="D122" s="1" t="s">
        <v>19</v>
      </c>
      <c r="E122" s="1" t="s">
        <v>18</v>
      </c>
      <c r="F122" s="1">
        <f ca="1">RANDBETWEEN(1,3)</f>
        <v>1</v>
      </c>
      <c r="G122" s="1" t="str">
        <f>TEXT(A122,"mmm-yyyy")</f>
        <v>Feb-2026</v>
      </c>
    </row>
    <row r="123" spans="1:7" x14ac:dyDescent="0.3">
      <c r="A123" s="2">
        <v>46076</v>
      </c>
      <c r="B123" s="1" t="str">
        <f>TEXT(A123,"ddd")</f>
        <v>Mon</v>
      </c>
      <c r="C123" s="1" t="s">
        <v>76</v>
      </c>
      <c r="D123" s="1" t="s">
        <v>53</v>
      </c>
      <c r="E123" s="1" t="s">
        <v>25</v>
      </c>
      <c r="F123" s="1">
        <f ca="1">RANDBETWEEN(1,3)</f>
        <v>2</v>
      </c>
      <c r="G123" s="1" t="str">
        <f>TEXT(A123,"mmm-yyyy")</f>
        <v>Feb-2026</v>
      </c>
    </row>
    <row r="124" spans="1:7" x14ac:dyDescent="0.3">
      <c r="A124" s="2">
        <v>46077</v>
      </c>
      <c r="B124" s="1" t="str">
        <f>TEXT(A124,"ddd")</f>
        <v>Tue</v>
      </c>
      <c r="C124" s="1" t="s">
        <v>75</v>
      </c>
      <c r="D124" s="1" t="s">
        <v>22</v>
      </c>
      <c r="E124" s="1" t="s">
        <v>21</v>
      </c>
      <c r="F124" s="1">
        <f ca="1">RANDBETWEEN(1,3)</f>
        <v>2</v>
      </c>
      <c r="G124" s="1" t="str">
        <f>TEXT(A124,"mmm-yyyy")</f>
        <v>Feb-2026</v>
      </c>
    </row>
    <row r="125" spans="1:7" x14ac:dyDescent="0.3">
      <c r="A125" s="2">
        <v>46080</v>
      </c>
      <c r="B125" s="1" t="str">
        <f>TEXT(A125,"ddd")</f>
        <v>Fri</v>
      </c>
      <c r="C125" s="1" t="s">
        <v>161</v>
      </c>
      <c r="D125" s="1" t="s">
        <v>9</v>
      </c>
      <c r="E125" s="1" t="s">
        <v>8</v>
      </c>
      <c r="F125" s="1">
        <f ca="1">RANDBETWEEN(1,3)</f>
        <v>1</v>
      </c>
      <c r="G125" s="1" t="str">
        <f>TEXT(A125,"mmm-yyyy")</f>
        <v>Feb-2026</v>
      </c>
    </row>
    <row r="126" spans="1:7" x14ac:dyDescent="0.3">
      <c r="A126" s="2">
        <v>46083</v>
      </c>
      <c r="B126" s="1" t="str">
        <f>TEXT(A126,"ddd")</f>
        <v>Mon</v>
      </c>
      <c r="C126" s="1" t="s">
        <v>194</v>
      </c>
      <c r="D126" s="1" t="s">
        <v>7</v>
      </c>
      <c r="E126" s="1" t="s">
        <v>6</v>
      </c>
      <c r="F126" s="1">
        <f ca="1">RANDBETWEEN(1,3)</f>
        <v>3</v>
      </c>
      <c r="G126" s="1" t="str">
        <f>TEXT(A126,"mmm-yyyy")</f>
        <v>Mar-2026</v>
      </c>
    </row>
    <row r="127" spans="1:7" x14ac:dyDescent="0.3">
      <c r="A127" s="2">
        <v>46083</v>
      </c>
      <c r="B127" s="1" t="str">
        <f>TEXT(A127,"ddd")</f>
        <v>Mon</v>
      </c>
      <c r="C127" s="1" t="s">
        <v>52</v>
      </c>
      <c r="D127" s="1" t="s">
        <v>59</v>
      </c>
      <c r="E127" s="1" t="s">
        <v>3</v>
      </c>
      <c r="F127" s="1">
        <f ca="1">RANDBETWEEN(1,3)</f>
        <v>2</v>
      </c>
      <c r="G127" s="1" t="str">
        <f>TEXT(A127,"mmm-yyyy")</f>
        <v>Mar-2026</v>
      </c>
    </row>
    <row r="128" spans="1:7" x14ac:dyDescent="0.3">
      <c r="A128" s="2">
        <v>46084</v>
      </c>
      <c r="B128" s="1" t="str">
        <f>TEXT(A128,"ddd")</f>
        <v>Tue</v>
      </c>
      <c r="C128" s="1" t="s">
        <v>73</v>
      </c>
      <c r="D128" s="1" t="s">
        <v>14</v>
      </c>
      <c r="E128" s="1" t="s">
        <v>13</v>
      </c>
      <c r="F128" s="1">
        <f ca="1">RANDBETWEEN(1,3)</f>
        <v>3</v>
      </c>
      <c r="G128" s="1" t="str">
        <f>TEXT(A128,"mmm-yyyy")</f>
        <v>Mar-2026</v>
      </c>
    </row>
    <row r="129" spans="1:7" x14ac:dyDescent="0.3">
      <c r="A129" s="2">
        <v>46088</v>
      </c>
      <c r="B129" s="1" t="str">
        <f>TEXT(A129,"ddd")</f>
        <v>Sat</v>
      </c>
      <c r="C129" s="1" t="s">
        <v>179</v>
      </c>
      <c r="D129" s="1" t="s">
        <v>67</v>
      </c>
      <c r="E129" s="1" t="s">
        <v>66</v>
      </c>
      <c r="F129" s="1">
        <f ca="1">RANDBETWEEN(1,3)</f>
        <v>3</v>
      </c>
      <c r="G129" s="1" t="str">
        <f>TEXT(A129,"mmm-yyyy")</f>
        <v>Mar-2026</v>
      </c>
    </row>
    <row r="130" spans="1:7" x14ac:dyDescent="0.3">
      <c r="A130" s="2">
        <v>46088</v>
      </c>
      <c r="B130" s="1" t="str">
        <f>TEXT(A130,"ddd")</f>
        <v>Sat</v>
      </c>
      <c r="C130" s="1" t="s">
        <v>64</v>
      </c>
      <c r="D130" s="1" t="s">
        <v>7</v>
      </c>
      <c r="E130" s="1" t="s">
        <v>6</v>
      </c>
      <c r="F130" s="1">
        <f ca="1">RANDBETWEEN(1,3)</f>
        <v>1</v>
      </c>
      <c r="G130" s="1" t="str">
        <f>TEXT(A130,"mmm-yyyy")</f>
        <v>Mar-2026</v>
      </c>
    </row>
    <row r="131" spans="1:7" x14ac:dyDescent="0.3">
      <c r="A131" s="2">
        <v>46089</v>
      </c>
      <c r="B131" s="1" t="str">
        <f>TEXT(A131,"ddd")</f>
        <v>Sun</v>
      </c>
      <c r="C131" s="1" t="s">
        <v>195</v>
      </c>
      <c r="D131" s="1" t="s">
        <v>7</v>
      </c>
      <c r="E131" s="1" t="s">
        <v>6</v>
      </c>
      <c r="F131" s="1">
        <f ca="1">RANDBETWEEN(1,3)</f>
        <v>1</v>
      </c>
      <c r="G131" s="1" t="str">
        <f>TEXT(A131,"mmm-yyyy")</f>
        <v>Mar-2026</v>
      </c>
    </row>
    <row r="132" spans="1:7" x14ac:dyDescent="0.3">
      <c r="A132" s="2">
        <v>46090</v>
      </c>
      <c r="B132" s="1" t="str">
        <f>TEXT(A132,"ddd")</f>
        <v>Mon</v>
      </c>
      <c r="C132" s="1" t="s">
        <v>72</v>
      </c>
      <c r="D132" s="1" t="s">
        <v>39</v>
      </c>
      <c r="E132" s="1" t="s">
        <v>8</v>
      </c>
      <c r="F132" s="1">
        <f ca="1">RANDBETWEEN(1,3)</f>
        <v>3</v>
      </c>
      <c r="G132" s="1" t="str">
        <f>TEXT(A132,"mmm-yyyy")</f>
        <v>Mar-2026</v>
      </c>
    </row>
    <row r="133" spans="1:7" x14ac:dyDescent="0.3">
      <c r="A133" s="2">
        <v>46092</v>
      </c>
      <c r="B133" s="1" t="str">
        <f>TEXT(A133,"ddd")</f>
        <v>Wed</v>
      </c>
      <c r="C133" s="1" t="s">
        <v>154</v>
      </c>
      <c r="D133" s="1" t="s">
        <v>19</v>
      </c>
      <c r="E133" s="1" t="s">
        <v>18</v>
      </c>
      <c r="F133" s="1">
        <f ca="1">RANDBETWEEN(1,3)</f>
        <v>3</v>
      </c>
      <c r="G133" s="1" t="str">
        <f>TEXT(A133,"mmm-yyyy")</f>
        <v>Mar-2026</v>
      </c>
    </row>
    <row r="134" spans="1:7" x14ac:dyDescent="0.3">
      <c r="A134" s="2">
        <v>46092</v>
      </c>
      <c r="B134" s="1" t="str">
        <f>TEXT(A134,"ddd")</f>
        <v>Wed</v>
      </c>
      <c r="C134" s="1" t="s">
        <v>71</v>
      </c>
      <c r="D134" s="1" t="s">
        <v>11</v>
      </c>
      <c r="E134" s="1" t="s">
        <v>10</v>
      </c>
      <c r="F134" s="1">
        <f ca="1">RANDBETWEEN(1,3)</f>
        <v>2</v>
      </c>
      <c r="G134" s="1" t="str">
        <f>TEXT(A134,"mmm-yyyy")</f>
        <v>Mar-2026</v>
      </c>
    </row>
    <row r="135" spans="1:7" x14ac:dyDescent="0.3">
      <c r="A135" s="2">
        <v>46094</v>
      </c>
      <c r="B135" s="1" t="str">
        <f>TEXT(A135,"ddd")</f>
        <v>Fri</v>
      </c>
      <c r="C135" s="1" t="s">
        <v>61</v>
      </c>
      <c r="D135" s="1" t="s">
        <v>60</v>
      </c>
      <c r="E135" s="1" t="s">
        <v>33</v>
      </c>
      <c r="F135" s="1">
        <f ca="1">RANDBETWEEN(1,3)</f>
        <v>1</v>
      </c>
      <c r="G135" s="1" t="str">
        <f>TEXT(A135,"mmm-yyyy")</f>
        <v>Mar-2026</v>
      </c>
    </row>
    <row r="136" spans="1:7" x14ac:dyDescent="0.3">
      <c r="A136" s="2">
        <v>46100</v>
      </c>
      <c r="B136" s="1" t="str">
        <f>TEXT(A136,"ddd")</f>
        <v>Thu</v>
      </c>
      <c r="C136" s="1" t="s">
        <v>70</v>
      </c>
      <c r="D136" s="1" t="s">
        <v>28</v>
      </c>
      <c r="E136" s="1" t="s">
        <v>10</v>
      </c>
      <c r="F136" s="1">
        <f ca="1">RANDBETWEEN(1,3)</f>
        <v>3</v>
      </c>
      <c r="G136" s="1" t="str">
        <f>TEXT(A136,"mmm-yyyy")</f>
        <v>Mar-2026</v>
      </c>
    </row>
    <row r="137" spans="1:7" x14ac:dyDescent="0.3">
      <c r="A137" s="2">
        <v>46102</v>
      </c>
      <c r="B137" s="1" t="str">
        <f>TEXT(A137,"ddd")</f>
        <v>Sat</v>
      </c>
      <c r="C137" s="1" t="s">
        <v>69</v>
      </c>
      <c r="D137" s="1" t="s">
        <v>36</v>
      </c>
      <c r="E137" s="1" t="s">
        <v>10</v>
      </c>
      <c r="F137" s="1">
        <f ca="1">RANDBETWEEN(1,3)</f>
        <v>3</v>
      </c>
      <c r="G137" s="1" t="str">
        <f>TEXT(A137,"mmm-yyyy")</f>
        <v>Mar-2026</v>
      </c>
    </row>
    <row r="138" spans="1:7" x14ac:dyDescent="0.3">
      <c r="A138" s="2">
        <v>46104</v>
      </c>
      <c r="B138" s="1" t="str">
        <f>TEXT(A138,"ddd")</f>
        <v>Mon</v>
      </c>
      <c r="C138" s="1" t="s">
        <v>68</v>
      </c>
      <c r="D138" s="1" t="s">
        <v>28</v>
      </c>
      <c r="E138" s="1" t="s">
        <v>10</v>
      </c>
      <c r="F138" s="1">
        <f ca="1">RANDBETWEEN(1,3)</f>
        <v>2</v>
      </c>
      <c r="G138" s="1" t="str">
        <f>TEXT(A138,"mmm-yyyy")</f>
        <v>Mar-2026</v>
      </c>
    </row>
    <row r="139" spans="1:7" x14ac:dyDescent="0.3">
      <c r="A139" s="2">
        <v>46106</v>
      </c>
      <c r="B139" s="1" t="str">
        <f>TEXT(A139,"ddd")</f>
        <v>Wed</v>
      </c>
      <c r="C139" s="1" t="s">
        <v>180</v>
      </c>
      <c r="D139" s="1" t="s">
        <v>67</v>
      </c>
      <c r="E139" s="1" t="s">
        <v>66</v>
      </c>
      <c r="F139" s="1">
        <f ca="1">RANDBETWEEN(1,3)</f>
        <v>1</v>
      </c>
      <c r="G139" s="1" t="str">
        <f>TEXT(A139,"mmm-yyyy")</f>
        <v>Mar-2026</v>
      </c>
    </row>
    <row r="140" spans="1:7" x14ac:dyDescent="0.3">
      <c r="A140" s="2">
        <v>46106</v>
      </c>
      <c r="B140" s="1" t="str">
        <f>TEXT(A140,"ddd")</f>
        <v>Wed</v>
      </c>
      <c r="C140" s="1" t="s">
        <v>196</v>
      </c>
      <c r="D140" s="1" t="s">
        <v>7</v>
      </c>
      <c r="E140" s="1" t="s">
        <v>6</v>
      </c>
      <c r="F140" s="1">
        <f ca="1">RANDBETWEEN(1,3)</f>
        <v>2</v>
      </c>
      <c r="G140" s="1" t="str">
        <f>TEXT(A140,"mmm-yyyy")</f>
        <v>Mar-2026</v>
      </c>
    </row>
    <row r="141" spans="1:7" x14ac:dyDescent="0.3">
      <c r="A141" s="2">
        <v>46107</v>
      </c>
      <c r="B141" s="1" t="str">
        <f>TEXT(A141,"ddd")</f>
        <v>Thu</v>
      </c>
      <c r="C141" s="1" t="s">
        <v>65</v>
      </c>
      <c r="D141" s="1" t="s">
        <v>36</v>
      </c>
      <c r="E141" s="1" t="s">
        <v>10</v>
      </c>
      <c r="F141" s="1">
        <f ca="1">RANDBETWEEN(1,3)</f>
        <v>2</v>
      </c>
      <c r="G141" s="1" t="str">
        <f>TEXT(A141,"mmm-yyyy")</f>
        <v>Mar-2026</v>
      </c>
    </row>
    <row r="142" spans="1:7" x14ac:dyDescent="0.3">
      <c r="A142" s="2">
        <v>46108</v>
      </c>
      <c r="B142" s="1" t="str">
        <f>TEXT(A142,"ddd")</f>
        <v>Fri</v>
      </c>
      <c r="C142" s="1" t="s">
        <v>64</v>
      </c>
      <c r="D142" s="1" t="s">
        <v>16</v>
      </c>
      <c r="E142" s="1" t="s">
        <v>8</v>
      </c>
      <c r="F142" s="1">
        <f ca="1">RANDBETWEEN(1,3)</f>
        <v>1</v>
      </c>
      <c r="G142" s="1" t="str">
        <f>TEXT(A142,"mmm-yyyy")</f>
        <v>Mar-2026</v>
      </c>
    </row>
    <row r="143" spans="1:7" x14ac:dyDescent="0.3">
      <c r="A143" s="2">
        <v>46110</v>
      </c>
      <c r="B143" s="1" t="str">
        <f>TEXT(A143,"ddd")</f>
        <v>Sun</v>
      </c>
      <c r="C143" s="1" t="s">
        <v>63</v>
      </c>
      <c r="D143" s="1" t="s">
        <v>42</v>
      </c>
      <c r="E143" s="1" t="s">
        <v>10</v>
      </c>
      <c r="F143" s="1">
        <f ca="1">RANDBETWEEN(1,3)</f>
        <v>1</v>
      </c>
      <c r="G143" s="1" t="str">
        <f>TEXT(A143,"mmm-yyyy")</f>
        <v>Mar-2026</v>
      </c>
    </row>
    <row r="144" spans="1:7" x14ac:dyDescent="0.3">
      <c r="A144" s="2">
        <v>46111</v>
      </c>
      <c r="B144" s="1" t="str">
        <f>TEXT(A144,"ddd")</f>
        <v>Mon</v>
      </c>
      <c r="C144" s="1" t="s">
        <v>197</v>
      </c>
      <c r="D144" s="1" t="s">
        <v>7</v>
      </c>
      <c r="E144" s="1" t="s">
        <v>6</v>
      </c>
      <c r="F144" s="1">
        <f ca="1">RANDBETWEEN(1,3)</f>
        <v>3</v>
      </c>
      <c r="G144" s="1" t="str">
        <f>TEXT(A144,"mmm-yyyy")</f>
        <v>Mar-2026</v>
      </c>
    </row>
    <row r="145" spans="1:7" x14ac:dyDescent="0.3">
      <c r="A145" s="2">
        <v>46112</v>
      </c>
      <c r="B145" s="1" t="str">
        <f>TEXT(A145,"ddd")</f>
        <v>Tue</v>
      </c>
      <c r="C145" s="1" t="s">
        <v>155</v>
      </c>
      <c r="D145" s="1" t="s">
        <v>19</v>
      </c>
      <c r="E145" s="1" t="s">
        <v>18</v>
      </c>
      <c r="F145" s="1">
        <f ca="1">RANDBETWEEN(1,3)</f>
        <v>2</v>
      </c>
      <c r="G145" s="1" t="str">
        <f>TEXT(A145,"mmm-yyyy")</f>
        <v>Mar-2026</v>
      </c>
    </row>
    <row r="146" spans="1:7" x14ac:dyDescent="0.3">
      <c r="A146" s="2">
        <v>46117</v>
      </c>
      <c r="B146" s="1" t="str">
        <f>TEXT(A146,"ddd")</f>
        <v>Sun</v>
      </c>
      <c r="C146" s="1" t="s">
        <v>62</v>
      </c>
      <c r="D146" s="1" t="s">
        <v>36</v>
      </c>
      <c r="E146" s="1" t="s">
        <v>10</v>
      </c>
      <c r="F146" s="1">
        <f ca="1">RANDBETWEEN(1,3)</f>
        <v>1</v>
      </c>
      <c r="G146" s="1" t="str">
        <f>TEXT(A146,"mmm-yyyy")</f>
        <v>Apr-2026</v>
      </c>
    </row>
    <row r="147" spans="1:7" x14ac:dyDescent="0.3">
      <c r="A147" s="2">
        <v>46117</v>
      </c>
      <c r="B147" s="1" t="str">
        <f>TEXT(A147,"ddd")</f>
        <v>Sun</v>
      </c>
      <c r="C147" s="1" t="s">
        <v>54</v>
      </c>
      <c r="D147" s="1" t="s">
        <v>57</v>
      </c>
      <c r="E147" s="1" t="s">
        <v>25</v>
      </c>
      <c r="F147" s="1">
        <f ca="1">RANDBETWEEN(1,3)</f>
        <v>1</v>
      </c>
      <c r="G147" s="1" t="str">
        <f>TEXT(A147,"mmm-yyyy")</f>
        <v>Apr-2026</v>
      </c>
    </row>
    <row r="148" spans="1:7" x14ac:dyDescent="0.3">
      <c r="A148" s="2">
        <v>46120</v>
      </c>
      <c r="B148" s="1" t="str">
        <f>TEXT(A148,"ddd")</f>
        <v>Wed</v>
      </c>
      <c r="C148" s="1" t="s">
        <v>61</v>
      </c>
      <c r="D148" s="1" t="s">
        <v>60</v>
      </c>
      <c r="E148" s="1" t="s">
        <v>33</v>
      </c>
      <c r="F148" s="1">
        <f ca="1">RANDBETWEEN(1,3)</f>
        <v>1</v>
      </c>
      <c r="G148" s="1" t="str">
        <f>TEXT(A148,"mmm-yyyy")</f>
        <v>Apr-2026</v>
      </c>
    </row>
    <row r="149" spans="1:7" x14ac:dyDescent="0.3">
      <c r="A149" s="2">
        <v>46121</v>
      </c>
      <c r="B149" s="1" t="str">
        <f>TEXT(A149,"ddd")</f>
        <v>Thu</v>
      </c>
      <c r="C149" s="1" t="s">
        <v>58</v>
      </c>
      <c r="D149" s="1" t="s">
        <v>26</v>
      </c>
      <c r="E149" s="1" t="s">
        <v>25</v>
      </c>
      <c r="F149" s="1">
        <f ca="1">RANDBETWEEN(1,3)</f>
        <v>3</v>
      </c>
      <c r="G149" s="1" t="str">
        <f>TEXT(A149,"mmm-yyyy")</f>
        <v>Apr-2026</v>
      </c>
    </row>
    <row r="150" spans="1:7" x14ac:dyDescent="0.3">
      <c r="A150" s="2">
        <v>46121</v>
      </c>
      <c r="B150" s="1" t="str">
        <f>TEXT(A150,"ddd")</f>
        <v>Thu</v>
      </c>
      <c r="C150" s="1" t="s">
        <v>52</v>
      </c>
      <c r="D150" s="1" t="s">
        <v>59</v>
      </c>
      <c r="E150" s="1" t="s">
        <v>3</v>
      </c>
      <c r="F150" s="1">
        <f ca="1">RANDBETWEEN(1,3)</f>
        <v>3</v>
      </c>
      <c r="G150" s="1" t="str">
        <f>TEXT(A150,"mmm-yyyy")</f>
        <v>Apr-2026</v>
      </c>
    </row>
    <row r="151" spans="1:7" x14ac:dyDescent="0.3">
      <c r="A151" s="2">
        <v>46125</v>
      </c>
      <c r="B151" s="1" t="str">
        <f>TEXT(A151,"ddd")</f>
        <v>Mon</v>
      </c>
      <c r="C151" s="1" t="s">
        <v>58</v>
      </c>
      <c r="D151" s="1" t="s">
        <v>57</v>
      </c>
      <c r="E151" s="1" t="s">
        <v>25</v>
      </c>
      <c r="F151" s="1">
        <f ca="1">RANDBETWEEN(1,3)</f>
        <v>1</v>
      </c>
      <c r="G151" s="1" t="str">
        <f>TEXT(A151,"mmm-yyyy")</f>
        <v>Apr-2026</v>
      </c>
    </row>
    <row r="152" spans="1:7" x14ac:dyDescent="0.3">
      <c r="A152" s="2">
        <v>46126</v>
      </c>
      <c r="B152" s="1" t="str">
        <f>TEXT(A152,"ddd")</f>
        <v>Tue</v>
      </c>
      <c r="C152" s="1" t="s">
        <v>198</v>
      </c>
      <c r="D152" s="1" t="s">
        <v>7</v>
      </c>
      <c r="E152" s="1" t="s">
        <v>6</v>
      </c>
      <c r="F152" s="1">
        <f ca="1">RANDBETWEEN(1,3)</f>
        <v>3</v>
      </c>
      <c r="G152" s="1" t="str">
        <f>TEXT(A152,"mmm-yyyy")</f>
        <v>Apr-2026</v>
      </c>
    </row>
    <row r="153" spans="1:7" x14ac:dyDescent="0.3">
      <c r="A153" s="2">
        <v>46127</v>
      </c>
      <c r="B153" s="1" t="str">
        <f>TEXT(A153,"ddd")</f>
        <v>Wed</v>
      </c>
      <c r="C153" s="1" t="s">
        <v>199</v>
      </c>
      <c r="D153" s="1" t="s">
        <v>7</v>
      </c>
      <c r="E153" s="1" t="s">
        <v>6</v>
      </c>
      <c r="F153" s="1">
        <f ca="1">RANDBETWEEN(1,3)</f>
        <v>2</v>
      </c>
      <c r="G153" s="1" t="str">
        <f>TEXT(A153,"mmm-yyyy")</f>
        <v>Apr-2026</v>
      </c>
    </row>
    <row r="154" spans="1:7" x14ac:dyDescent="0.3">
      <c r="A154" s="2">
        <v>46128</v>
      </c>
      <c r="B154" s="1" t="str">
        <f>TEXT(A154,"ddd")</f>
        <v>Thu</v>
      </c>
      <c r="C154" s="1" t="s">
        <v>2</v>
      </c>
      <c r="D154" s="1" t="s">
        <v>4</v>
      </c>
      <c r="E154" s="1" t="s">
        <v>3</v>
      </c>
      <c r="F154" s="1">
        <f ca="1">RANDBETWEEN(1,3)</f>
        <v>2</v>
      </c>
      <c r="G154" s="1" t="str">
        <f>TEXT(A154,"mmm-yyyy")</f>
        <v>Apr-2026</v>
      </c>
    </row>
    <row r="155" spans="1:7" x14ac:dyDescent="0.3">
      <c r="A155" s="2">
        <v>46130</v>
      </c>
      <c r="B155" s="1" t="str">
        <f>TEXT(A155,"ddd")</f>
        <v>Sat</v>
      </c>
      <c r="C155" s="1" t="s">
        <v>55</v>
      </c>
      <c r="D155" s="1" t="s">
        <v>14</v>
      </c>
      <c r="E155" s="1" t="s">
        <v>13</v>
      </c>
      <c r="F155" s="1">
        <f ca="1">RANDBETWEEN(1,3)</f>
        <v>3</v>
      </c>
      <c r="G155" s="1" t="str">
        <f>TEXT(A155,"mmm-yyyy")</f>
        <v>Apr-2026</v>
      </c>
    </row>
    <row r="156" spans="1:7" x14ac:dyDescent="0.3">
      <c r="A156" s="2">
        <v>46130</v>
      </c>
      <c r="B156" s="1" t="str">
        <f>TEXT(A156,"ddd")</f>
        <v>Sat</v>
      </c>
      <c r="C156" s="1" t="s">
        <v>54</v>
      </c>
      <c r="D156" s="1" t="s">
        <v>53</v>
      </c>
      <c r="E156" s="1" t="s">
        <v>25</v>
      </c>
      <c r="F156" s="1">
        <f ca="1">RANDBETWEEN(1,3)</f>
        <v>3</v>
      </c>
      <c r="G156" s="1" t="str">
        <f>TEXT(A156,"mmm-yyyy")</f>
        <v>Apr-2026</v>
      </c>
    </row>
    <row r="157" spans="1:7" x14ac:dyDescent="0.3">
      <c r="A157" s="2">
        <v>46131</v>
      </c>
      <c r="B157" s="1" t="str">
        <f>TEXT(A157,"ddd")</f>
        <v>Sun</v>
      </c>
      <c r="C157" s="1" t="s">
        <v>141</v>
      </c>
      <c r="D157" s="1" t="s">
        <v>1</v>
      </c>
      <c r="E157" s="1" t="s">
        <v>0</v>
      </c>
      <c r="F157" s="1">
        <f ca="1">RANDBETWEEN(1,3)</f>
        <v>1</v>
      </c>
      <c r="G157" s="1" t="str">
        <f>TEXT(A157,"mmm-yyyy")</f>
        <v>Apr-2026</v>
      </c>
    </row>
    <row r="158" spans="1:7" x14ac:dyDescent="0.3">
      <c r="A158" s="2">
        <v>46131</v>
      </c>
      <c r="B158" s="1" t="str">
        <f>TEXT(A158,"ddd")</f>
        <v>Sun</v>
      </c>
      <c r="C158" s="1" t="s">
        <v>5</v>
      </c>
      <c r="D158" s="1" t="s">
        <v>24</v>
      </c>
      <c r="E158" s="1" t="s">
        <v>3</v>
      </c>
      <c r="F158" s="1">
        <f ca="1">RANDBETWEEN(1,3)</f>
        <v>3</v>
      </c>
      <c r="G158" s="1" t="str">
        <f>TEXT(A158,"mmm-yyyy")</f>
        <v>Apr-2026</v>
      </c>
    </row>
    <row r="159" spans="1:7" x14ac:dyDescent="0.3">
      <c r="A159" s="2">
        <v>46133</v>
      </c>
      <c r="B159" s="1" t="str">
        <f>TEXT(A159,"ddd")</f>
        <v>Tue</v>
      </c>
      <c r="C159" s="1" t="s">
        <v>142</v>
      </c>
      <c r="D159" s="1" t="s">
        <v>1</v>
      </c>
      <c r="E159" s="1" t="s">
        <v>0</v>
      </c>
      <c r="F159" s="1">
        <f ca="1">RANDBETWEEN(1,3)</f>
        <v>1</v>
      </c>
      <c r="G159" s="1" t="str">
        <f>TEXT(A159,"mmm-yyyy")</f>
        <v>Apr-2026</v>
      </c>
    </row>
    <row r="160" spans="1:7" x14ac:dyDescent="0.3">
      <c r="A160" s="2">
        <v>46136</v>
      </c>
      <c r="B160" s="1" t="str">
        <f>TEXT(A160,"ddd")</f>
        <v>Fri</v>
      </c>
      <c r="C160" s="1" t="s">
        <v>158</v>
      </c>
      <c r="D160" s="1" t="s">
        <v>19</v>
      </c>
      <c r="E160" s="1" t="s">
        <v>18</v>
      </c>
      <c r="F160" s="1">
        <f ca="1">RANDBETWEEN(1,3)</f>
        <v>1</v>
      </c>
      <c r="G160" s="1" t="str">
        <f>TEXT(A160,"mmm-yyyy")</f>
        <v>Apr-2026</v>
      </c>
    </row>
    <row r="161" spans="1:7" x14ac:dyDescent="0.3">
      <c r="A161" s="2">
        <v>46136</v>
      </c>
      <c r="B161" s="1" t="str">
        <f>TEXT(A161,"ddd")</f>
        <v>Fri</v>
      </c>
      <c r="C161" s="1" t="s">
        <v>162</v>
      </c>
      <c r="D161" s="1" t="s">
        <v>9</v>
      </c>
      <c r="E161" s="1" t="s">
        <v>8</v>
      </c>
      <c r="F161" s="1">
        <f ca="1">RANDBETWEEN(1,3)</f>
        <v>1</v>
      </c>
      <c r="G161" s="1" t="str">
        <f>TEXT(A161,"mmm-yyyy")</f>
        <v>Apr-2026</v>
      </c>
    </row>
    <row r="162" spans="1:7" x14ac:dyDescent="0.3">
      <c r="A162" s="2">
        <v>46141</v>
      </c>
      <c r="B162" s="1" t="str">
        <f>TEXT(A162,"ddd")</f>
        <v>Wed</v>
      </c>
      <c r="C162" s="1" t="s">
        <v>143</v>
      </c>
      <c r="D162" s="1" t="s">
        <v>1</v>
      </c>
      <c r="E162" s="1" t="s">
        <v>0</v>
      </c>
      <c r="F162" s="1">
        <f ca="1">RANDBETWEEN(1,3)</f>
        <v>3</v>
      </c>
      <c r="G162" s="1" t="str">
        <f>TEXT(A162,"mmm-yyyy")</f>
        <v>Apr-2026</v>
      </c>
    </row>
    <row r="163" spans="1:7" x14ac:dyDescent="0.3">
      <c r="A163" s="2">
        <v>46141</v>
      </c>
      <c r="B163" s="1" t="str">
        <f>TEXT(A163,"ddd")</f>
        <v>Wed</v>
      </c>
      <c r="C163" s="1" t="s">
        <v>51</v>
      </c>
      <c r="D163" s="1" t="s">
        <v>50</v>
      </c>
      <c r="E163" s="1" t="s">
        <v>25</v>
      </c>
      <c r="F163" s="1">
        <f ca="1">RANDBETWEEN(1,3)</f>
        <v>3</v>
      </c>
      <c r="G163" s="1" t="str">
        <f>TEXT(A163,"mmm-yyyy")</f>
        <v>Apr-2026</v>
      </c>
    </row>
    <row r="164" spans="1:7" x14ac:dyDescent="0.3">
      <c r="A164" s="2">
        <v>46142</v>
      </c>
      <c r="B164" s="1" t="str">
        <f>TEXT(A164,"ddd")</f>
        <v>Thu</v>
      </c>
      <c r="C164" s="1" t="s">
        <v>200</v>
      </c>
      <c r="D164" s="1" t="s">
        <v>7</v>
      </c>
      <c r="E164" s="1" t="s">
        <v>6</v>
      </c>
      <c r="F164" s="1">
        <f ca="1">RANDBETWEEN(1,3)</f>
        <v>2</v>
      </c>
      <c r="G164" s="1" t="str">
        <f>TEXT(A164,"mmm-yyyy")</f>
        <v>Apr-2026</v>
      </c>
    </row>
    <row r="165" spans="1:7" x14ac:dyDescent="0.3">
      <c r="A165" s="2">
        <v>46144</v>
      </c>
      <c r="B165" s="1" t="str">
        <f>TEXT(A165,"ddd")</f>
        <v>Sat</v>
      </c>
      <c r="C165" s="1" t="s">
        <v>163</v>
      </c>
      <c r="D165" s="1" t="s">
        <v>9</v>
      </c>
      <c r="E165" s="1" t="s">
        <v>8</v>
      </c>
      <c r="F165" s="1">
        <f ca="1">RANDBETWEEN(1,3)</f>
        <v>1</v>
      </c>
      <c r="G165" s="1" t="str">
        <f>TEXT(A165,"mmm-yyyy")</f>
        <v>May-2026</v>
      </c>
    </row>
    <row r="166" spans="1:7" x14ac:dyDescent="0.3">
      <c r="A166" s="2">
        <v>46145</v>
      </c>
      <c r="B166" s="1" t="str">
        <f>TEXT(A166,"ddd")</f>
        <v>Sun</v>
      </c>
      <c r="C166" s="1" t="s">
        <v>27</v>
      </c>
      <c r="D166" s="1" t="s">
        <v>48</v>
      </c>
      <c r="E166" s="1" t="s">
        <v>25</v>
      </c>
      <c r="F166" s="1">
        <f ca="1">RANDBETWEEN(1,3)</f>
        <v>3</v>
      </c>
      <c r="G166" s="1" t="str">
        <f>TEXT(A166,"mmm-yyyy")</f>
        <v>May-2026</v>
      </c>
    </row>
    <row r="167" spans="1:7" x14ac:dyDescent="0.3">
      <c r="A167" s="2">
        <v>46145</v>
      </c>
      <c r="B167" s="1" t="str">
        <f>TEXT(A167,"ddd")</f>
        <v>Sun</v>
      </c>
      <c r="C167" s="1" t="s">
        <v>47</v>
      </c>
      <c r="D167" s="1" t="s">
        <v>11</v>
      </c>
      <c r="E167" s="1" t="s">
        <v>10</v>
      </c>
      <c r="F167" s="1">
        <f ca="1">RANDBETWEEN(1,3)</f>
        <v>3</v>
      </c>
      <c r="G167" s="1" t="str">
        <f>TEXT(A167,"mmm-yyyy")</f>
        <v>May-2026</v>
      </c>
    </row>
    <row r="168" spans="1:7" x14ac:dyDescent="0.3">
      <c r="A168" s="2">
        <v>46146</v>
      </c>
      <c r="B168" s="1" t="str">
        <f>TEXT(A168,"ddd")</f>
        <v>Mon</v>
      </c>
      <c r="C168" s="1" t="s">
        <v>46</v>
      </c>
      <c r="D168" s="1" t="s">
        <v>11</v>
      </c>
      <c r="E168" s="1" t="s">
        <v>10</v>
      </c>
      <c r="F168" s="1">
        <f ca="1">RANDBETWEEN(1,3)</f>
        <v>2</v>
      </c>
      <c r="G168" s="1" t="str">
        <f>TEXT(A168,"mmm-yyyy")</f>
        <v>May-2026</v>
      </c>
    </row>
    <row r="169" spans="1:7" x14ac:dyDescent="0.3">
      <c r="A169" s="2">
        <v>46147</v>
      </c>
      <c r="B169" s="1" t="str">
        <f>TEXT(A169,"ddd")</f>
        <v>Tue</v>
      </c>
      <c r="C169" s="1" t="s">
        <v>164</v>
      </c>
      <c r="D169" s="1" t="s">
        <v>9</v>
      </c>
      <c r="E169" s="1" t="s">
        <v>8</v>
      </c>
      <c r="F169" s="1">
        <f ca="1">RANDBETWEEN(1,3)</f>
        <v>3</v>
      </c>
      <c r="G169" s="1" t="str">
        <f>TEXT(A169,"mmm-yyyy")</f>
        <v>May-2026</v>
      </c>
    </row>
    <row r="170" spans="1:7" x14ac:dyDescent="0.3">
      <c r="A170" s="2">
        <v>46147</v>
      </c>
      <c r="B170" s="1" t="str">
        <f>TEXT(A170,"ddd")</f>
        <v>Tue</v>
      </c>
      <c r="C170" s="1" t="s">
        <v>45</v>
      </c>
      <c r="D170" s="1" t="s">
        <v>28</v>
      </c>
      <c r="E170" s="1" t="s">
        <v>10</v>
      </c>
      <c r="F170" s="1">
        <f ca="1">RANDBETWEEN(1,3)</f>
        <v>3</v>
      </c>
      <c r="G170" s="1" t="str">
        <f>TEXT(A170,"mmm-yyyy")</f>
        <v>May-2026</v>
      </c>
    </row>
    <row r="171" spans="1:7" x14ac:dyDescent="0.3">
      <c r="A171" s="2">
        <v>46148</v>
      </c>
      <c r="B171" s="1" t="str">
        <f>TEXT(A171,"ddd")</f>
        <v>Wed</v>
      </c>
      <c r="C171" s="1" t="s">
        <v>44</v>
      </c>
      <c r="D171" s="1" t="s">
        <v>14</v>
      </c>
      <c r="E171" s="1" t="s">
        <v>13</v>
      </c>
      <c r="F171" s="1">
        <f ca="1">RANDBETWEEN(1,3)</f>
        <v>2</v>
      </c>
      <c r="G171" s="1" t="str">
        <f>TEXT(A171,"mmm-yyyy")</f>
        <v>May-2026</v>
      </c>
    </row>
    <row r="172" spans="1:7" x14ac:dyDescent="0.3">
      <c r="A172" s="2">
        <v>46150</v>
      </c>
      <c r="B172" s="1" t="str">
        <f>TEXT(A172,"ddd")</f>
        <v>Fri</v>
      </c>
      <c r="C172" s="1" t="s">
        <v>43</v>
      </c>
      <c r="D172" s="1" t="s">
        <v>42</v>
      </c>
      <c r="E172" s="1" t="s">
        <v>10</v>
      </c>
      <c r="F172" s="1">
        <f ca="1">RANDBETWEEN(1,3)</f>
        <v>2</v>
      </c>
      <c r="G172" s="1" t="str">
        <f>TEXT(A172,"mmm-yyyy")</f>
        <v>May-2026</v>
      </c>
    </row>
    <row r="173" spans="1:7" x14ac:dyDescent="0.3">
      <c r="A173" s="2">
        <v>46154</v>
      </c>
      <c r="B173" s="1" t="str">
        <f>TEXT(A173,"ddd")</f>
        <v>Tue</v>
      </c>
      <c r="C173" s="1" t="s">
        <v>41</v>
      </c>
      <c r="D173" s="1" t="s">
        <v>14</v>
      </c>
      <c r="E173" s="1" t="s">
        <v>13</v>
      </c>
      <c r="F173" s="1">
        <f ca="1">RANDBETWEEN(1,3)</f>
        <v>2</v>
      </c>
      <c r="G173" s="1" t="str">
        <f>TEXT(A173,"mmm-yyyy")</f>
        <v>May-2026</v>
      </c>
    </row>
    <row r="174" spans="1:7" x14ac:dyDescent="0.3">
      <c r="A174" s="2">
        <v>46155</v>
      </c>
      <c r="B174" s="1" t="str">
        <f>TEXT(A174,"ddd")</f>
        <v>Wed</v>
      </c>
      <c r="C174" s="1" t="s">
        <v>201</v>
      </c>
      <c r="D174" s="1" t="s">
        <v>7</v>
      </c>
      <c r="E174" s="1" t="s">
        <v>6</v>
      </c>
      <c r="F174" s="1">
        <f ca="1">RANDBETWEEN(1,3)</f>
        <v>2</v>
      </c>
      <c r="G174" s="1" t="str">
        <f>TEXT(A174,"mmm-yyyy")</f>
        <v>May-2026</v>
      </c>
    </row>
    <row r="175" spans="1:7" x14ac:dyDescent="0.3">
      <c r="A175" s="2">
        <v>46155</v>
      </c>
      <c r="B175" s="1" t="str">
        <f>TEXT(A175,"ddd")</f>
        <v>Wed</v>
      </c>
      <c r="C175" s="1" t="s">
        <v>40</v>
      </c>
      <c r="D175" s="1" t="s">
        <v>39</v>
      </c>
      <c r="E175" s="1" t="s">
        <v>8</v>
      </c>
      <c r="F175" s="1">
        <f ca="1">RANDBETWEEN(1,3)</f>
        <v>1</v>
      </c>
      <c r="G175" s="1" t="str">
        <f>TEXT(A175,"mmm-yyyy")</f>
        <v>May-2026</v>
      </c>
    </row>
    <row r="176" spans="1:7" x14ac:dyDescent="0.3">
      <c r="A176" s="2">
        <v>46155</v>
      </c>
      <c r="B176" s="1" t="str">
        <f>TEXT(A176,"ddd")</f>
        <v>Wed</v>
      </c>
      <c r="C176" s="1" t="s">
        <v>38</v>
      </c>
      <c r="D176" s="1" t="s">
        <v>28</v>
      </c>
      <c r="E176" s="1" t="s">
        <v>10</v>
      </c>
      <c r="F176" s="1">
        <f ca="1">RANDBETWEEN(1,3)</f>
        <v>1</v>
      </c>
      <c r="G176" s="1" t="str">
        <f>TEXT(A176,"mmm-yyyy")</f>
        <v>May-2026</v>
      </c>
    </row>
    <row r="177" spans="1:7" x14ac:dyDescent="0.3">
      <c r="A177" s="2">
        <v>46156</v>
      </c>
      <c r="B177" s="1" t="str">
        <f>TEXT(A177,"ddd")</f>
        <v>Thu</v>
      </c>
      <c r="C177" s="1" t="s">
        <v>37</v>
      </c>
      <c r="D177" s="1" t="s">
        <v>36</v>
      </c>
      <c r="E177" s="1" t="s">
        <v>10</v>
      </c>
      <c r="F177" s="1">
        <f ca="1">RANDBETWEEN(1,3)</f>
        <v>3</v>
      </c>
      <c r="G177" s="1" t="str">
        <f>TEXT(A177,"mmm-yyyy")</f>
        <v>May-2026</v>
      </c>
    </row>
    <row r="178" spans="1:7" x14ac:dyDescent="0.3">
      <c r="A178" s="2">
        <v>46158</v>
      </c>
      <c r="B178" s="1" t="str">
        <f>TEXT(A178,"ddd")</f>
        <v>Sat</v>
      </c>
      <c r="C178" s="1" t="s">
        <v>35</v>
      </c>
      <c r="D178" s="1" t="s">
        <v>34</v>
      </c>
      <c r="E178" s="1" t="s">
        <v>33</v>
      </c>
      <c r="F178" s="1">
        <f ca="1">RANDBETWEEN(1,3)</f>
        <v>3</v>
      </c>
      <c r="G178" s="1" t="str">
        <f>TEXT(A178,"mmm-yyyy")</f>
        <v>May-2026</v>
      </c>
    </row>
    <row r="179" spans="1:7" x14ac:dyDescent="0.3">
      <c r="A179" s="2">
        <v>46159</v>
      </c>
      <c r="B179" s="1" t="str">
        <f>TEXT(A179,"ddd")</f>
        <v>Sun</v>
      </c>
      <c r="C179" s="1" t="s">
        <v>202</v>
      </c>
      <c r="D179" s="1" t="s">
        <v>7</v>
      </c>
      <c r="E179" s="1" t="s">
        <v>6</v>
      </c>
      <c r="F179" s="1">
        <f ca="1">RANDBETWEEN(1,3)</f>
        <v>3</v>
      </c>
      <c r="G179" s="1" t="str">
        <f>TEXT(A179,"mmm-yyyy")</f>
        <v>May-2026</v>
      </c>
    </row>
    <row r="180" spans="1:7" x14ac:dyDescent="0.3">
      <c r="A180" s="2">
        <v>46162</v>
      </c>
      <c r="B180" s="1" t="str">
        <f>TEXT(A180,"ddd")</f>
        <v>Wed</v>
      </c>
      <c r="C180" s="1" t="s">
        <v>31</v>
      </c>
      <c r="D180" s="1" t="s">
        <v>30</v>
      </c>
      <c r="E180" s="1" t="s">
        <v>21</v>
      </c>
      <c r="F180" s="1">
        <f ca="1">RANDBETWEEN(1,3)</f>
        <v>1</v>
      </c>
      <c r="G180" s="1" t="str">
        <f>TEXT(A180,"mmm-yyyy")</f>
        <v>May-2026</v>
      </c>
    </row>
    <row r="181" spans="1:7" x14ac:dyDescent="0.3">
      <c r="A181" s="2">
        <v>46163</v>
      </c>
      <c r="B181" s="1" t="str">
        <f>TEXT(A181,"ddd")</f>
        <v>Thu</v>
      </c>
      <c r="C181" s="1" t="s">
        <v>29</v>
      </c>
      <c r="D181" s="1" t="s">
        <v>28</v>
      </c>
      <c r="E181" s="1" t="s">
        <v>10</v>
      </c>
      <c r="F181" s="1">
        <f ca="1">RANDBETWEEN(1,3)</f>
        <v>2</v>
      </c>
      <c r="G181" s="1" t="str">
        <f>TEXT(A181,"mmm-yyyy")</f>
        <v>May-2026</v>
      </c>
    </row>
    <row r="182" spans="1:7" x14ac:dyDescent="0.3">
      <c r="A182" s="2">
        <v>46164</v>
      </c>
      <c r="B182" s="1" t="str">
        <f>TEXT(A182,"ddd")</f>
        <v>Fri</v>
      </c>
      <c r="C182" s="1" t="s">
        <v>165</v>
      </c>
      <c r="D182" s="1" t="s">
        <v>9</v>
      </c>
      <c r="E182" s="1" t="s">
        <v>8</v>
      </c>
      <c r="F182" s="1">
        <f ca="1">RANDBETWEEN(1,3)</f>
        <v>3</v>
      </c>
      <c r="G182" s="1" t="str">
        <f>TEXT(A182,"mmm-yyyy")</f>
        <v>May-2026</v>
      </c>
    </row>
    <row r="183" spans="1:7" x14ac:dyDescent="0.3">
      <c r="A183" s="2">
        <v>46167</v>
      </c>
      <c r="B183" s="1" t="str">
        <f>TEXT(A183,"ddd")</f>
        <v>Mon</v>
      </c>
      <c r="C183" s="1" t="s">
        <v>166</v>
      </c>
      <c r="D183" s="1" t="s">
        <v>9</v>
      </c>
      <c r="E183" s="1" t="s">
        <v>8</v>
      </c>
      <c r="F183" s="1">
        <f ca="1">RANDBETWEEN(1,3)</f>
        <v>3</v>
      </c>
      <c r="G183" s="1" t="str">
        <f>TEXT(A183,"mmm-yyyy")</f>
        <v>May-2026</v>
      </c>
    </row>
    <row r="184" spans="1:7" x14ac:dyDescent="0.3">
      <c r="A184" s="2">
        <v>46168</v>
      </c>
      <c r="B184" s="1" t="str">
        <f>TEXT(A184,"ddd")</f>
        <v>Tue</v>
      </c>
      <c r="C184" s="1" t="s">
        <v>203</v>
      </c>
      <c r="D184" s="1" t="s">
        <v>7</v>
      </c>
      <c r="E184" s="1" t="s">
        <v>6</v>
      </c>
      <c r="F184" s="1">
        <f ca="1">RANDBETWEEN(1,3)</f>
        <v>3</v>
      </c>
      <c r="G184" s="1" t="str">
        <f>TEXT(A184,"mmm-yyyy")</f>
        <v>May-2026</v>
      </c>
    </row>
    <row r="185" spans="1:7" x14ac:dyDescent="0.3">
      <c r="A185" s="2">
        <v>46170</v>
      </c>
      <c r="B185" s="1" t="str">
        <f>TEXT(A185,"ddd")</f>
        <v>Thu</v>
      </c>
      <c r="C185" s="1" t="s">
        <v>27</v>
      </c>
      <c r="D185" s="1" t="s">
        <v>26</v>
      </c>
      <c r="E185" s="1" t="s">
        <v>25</v>
      </c>
      <c r="F185" s="1">
        <f ca="1">RANDBETWEEN(1,3)</f>
        <v>1</v>
      </c>
      <c r="G185" s="1" t="str">
        <f>TEXT(A185,"mmm-yyyy")</f>
        <v>May-2026</v>
      </c>
    </row>
    <row r="186" spans="1:7" x14ac:dyDescent="0.3">
      <c r="A186" s="2">
        <v>46174</v>
      </c>
      <c r="B186" s="1" t="str">
        <f>TEXT(A186,"ddd")</f>
        <v>Mon</v>
      </c>
      <c r="C186" s="1" t="s">
        <v>159</v>
      </c>
      <c r="D186" s="1" t="s">
        <v>19</v>
      </c>
      <c r="E186" s="1" t="s">
        <v>18</v>
      </c>
      <c r="F186" s="1">
        <f ca="1">RANDBETWEEN(1,3)</f>
        <v>1</v>
      </c>
      <c r="G186" s="1" t="str">
        <f>TEXT(A186,"mmm-yyyy")</f>
        <v>Jun-2026</v>
      </c>
    </row>
    <row r="187" spans="1:7" x14ac:dyDescent="0.3">
      <c r="A187" s="2">
        <v>46174</v>
      </c>
      <c r="B187" s="1" t="str">
        <f>TEXT(A187,"ddd")</f>
        <v>Mon</v>
      </c>
      <c r="C187" s="1" t="s">
        <v>204</v>
      </c>
      <c r="D187" s="1" t="s">
        <v>7</v>
      </c>
      <c r="E187" s="1" t="s">
        <v>6</v>
      </c>
      <c r="F187" s="1">
        <f ca="1">RANDBETWEEN(1,3)</f>
        <v>2</v>
      </c>
      <c r="G187" s="1" t="str">
        <f>TEXT(A187,"mmm-yyyy")</f>
        <v>Jun-2026</v>
      </c>
    </row>
    <row r="188" spans="1:7" x14ac:dyDescent="0.3">
      <c r="A188" s="2">
        <v>46177</v>
      </c>
      <c r="B188" s="1" t="str">
        <f>TEXT(A188,"ddd")</f>
        <v>Thu</v>
      </c>
      <c r="C188" s="1" t="s">
        <v>23</v>
      </c>
      <c r="D188" s="1" t="s">
        <v>22</v>
      </c>
      <c r="E188" s="1" t="s">
        <v>21</v>
      </c>
      <c r="F188" s="1">
        <f ca="1">RANDBETWEEN(1,3)</f>
        <v>3</v>
      </c>
      <c r="G188" s="1" t="str">
        <f>TEXT(A188,"mmm-yyyy")</f>
        <v>Jun-2026</v>
      </c>
    </row>
    <row r="189" spans="1:7" x14ac:dyDescent="0.3">
      <c r="A189" s="2">
        <v>46177</v>
      </c>
      <c r="B189" s="1" t="str">
        <f>TEXT(A189,"ddd")</f>
        <v>Thu</v>
      </c>
      <c r="C189" s="1" t="s">
        <v>2</v>
      </c>
      <c r="D189" s="1" t="s">
        <v>24</v>
      </c>
      <c r="E189" s="1" t="s">
        <v>3</v>
      </c>
      <c r="F189" s="1">
        <f ca="1">RANDBETWEEN(1,3)</f>
        <v>3</v>
      </c>
      <c r="G189" s="1" t="str">
        <f>TEXT(A189,"mmm-yyyy")</f>
        <v>Jun-2026</v>
      </c>
    </row>
    <row r="190" spans="1:7" x14ac:dyDescent="0.3">
      <c r="A190" s="2">
        <v>46179</v>
      </c>
      <c r="B190" s="1" t="str">
        <f>TEXT(A190,"ddd")</f>
        <v>Sat</v>
      </c>
      <c r="C190" s="1" t="s">
        <v>20</v>
      </c>
      <c r="D190" s="1" t="s">
        <v>19</v>
      </c>
      <c r="E190" s="1" t="s">
        <v>18</v>
      </c>
      <c r="F190" s="1">
        <f ca="1">RANDBETWEEN(1,3)</f>
        <v>1</v>
      </c>
      <c r="G190" s="1" t="str">
        <f>TEXT(A190,"mmm-yyyy")</f>
        <v>Jun-2026</v>
      </c>
    </row>
    <row r="191" spans="1:7" x14ac:dyDescent="0.3">
      <c r="A191" s="2">
        <v>46182</v>
      </c>
      <c r="B191" s="1" t="str">
        <f>TEXT(A191,"ddd")</f>
        <v>Tue</v>
      </c>
      <c r="C191" s="1" t="s">
        <v>17</v>
      </c>
      <c r="D191" s="1" t="s">
        <v>16</v>
      </c>
      <c r="E191" s="1" t="s">
        <v>8</v>
      </c>
      <c r="F191" s="1">
        <f ca="1">RANDBETWEEN(1,3)</f>
        <v>1</v>
      </c>
      <c r="G191" s="1" t="str">
        <f>TEXT(A191,"mmm-yyyy")</f>
        <v>Jun-2026</v>
      </c>
    </row>
    <row r="192" spans="1:7" x14ac:dyDescent="0.3">
      <c r="A192" s="2">
        <v>46182</v>
      </c>
      <c r="B192" s="1" t="str">
        <f>TEXT(A192,"ddd")</f>
        <v>Tue</v>
      </c>
      <c r="C192" s="1" t="s">
        <v>15</v>
      </c>
      <c r="D192" s="1" t="s">
        <v>14</v>
      </c>
      <c r="E192" s="1" t="s">
        <v>13</v>
      </c>
      <c r="F192" s="1">
        <f ca="1">RANDBETWEEN(1,3)</f>
        <v>1</v>
      </c>
      <c r="G192" s="1" t="str">
        <f>TEXT(A192,"mmm-yyyy")</f>
        <v>Jun-2026</v>
      </c>
    </row>
    <row r="193" spans="1:7" x14ac:dyDescent="0.3">
      <c r="A193" s="2">
        <v>46183</v>
      </c>
      <c r="B193" s="1" t="str">
        <f>TEXT(A193,"ddd")</f>
        <v>Wed</v>
      </c>
      <c r="C193" s="1" t="s">
        <v>12</v>
      </c>
      <c r="D193" s="1" t="s">
        <v>11</v>
      </c>
      <c r="E193" s="1" t="s">
        <v>10</v>
      </c>
      <c r="F193" s="1">
        <f ca="1">RANDBETWEEN(1,3)</f>
        <v>1</v>
      </c>
      <c r="G193" s="1" t="str">
        <f>TEXT(A193,"mmm-yyyy")</f>
        <v>Jun-2026</v>
      </c>
    </row>
    <row r="194" spans="1:7" x14ac:dyDescent="0.3">
      <c r="A194" s="2">
        <v>46184</v>
      </c>
      <c r="B194" s="1" t="str">
        <f>TEXT(A194,"ddd")</f>
        <v>Thu</v>
      </c>
      <c r="C194" s="1" t="s">
        <v>167</v>
      </c>
      <c r="D194" s="1" t="s">
        <v>9</v>
      </c>
      <c r="E194" s="1" t="s">
        <v>8</v>
      </c>
      <c r="F194" s="1">
        <f ca="1">RANDBETWEEN(1,3)</f>
        <v>3</v>
      </c>
      <c r="G194" s="1" t="str">
        <f>TEXT(A194,"mmm-yyyy")</f>
        <v>Jun-2026</v>
      </c>
    </row>
    <row r="195" spans="1:7" x14ac:dyDescent="0.3">
      <c r="A195" s="2">
        <v>46187</v>
      </c>
      <c r="B195" s="1" t="str">
        <f>TEXT(A195,"ddd")</f>
        <v>Sun</v>
      </c>
      <c r="C195" s="1" t="s">
        <v>205</v>
      </c>
      <c r="D195" s="1" t="s">
        <v>7</v>
      </c>
      <c r="E195" s="1" t="s">
        <v>6</v>
      </c>
      <c r="F195" s="1">
        <f ca="1">RANDBETWEEN(1,3)</f>
        <v>3</v>
      </c>
      <c r="G195" s="1" t="str">
        <f>TEXT(A195,"mmm-yyyy")</f>
        <v>Jun-2026</v>
      </c>
    </row>
    <row r="196" spans="1:7" x14ac:dyDescent="0.3">
      <c r="A196" s="2">
        <v>46188</v>
      </c>
      <c r="B196" s="1" t="str">
        <f>TEXT(A196,"ddd")</f>
        <v>Mon</v>
      </c>
      <c r="C196" s="1" t="s">
        <v>144</v>
      </c>
      <c r="D196" s="1" t="s">
        <v>1</v>
      </c>
      <c r="E196" s="1" t="s">
        <v>0</v>
      </c>
      <c r="F196" s="1">
        <f ca="1">RANDBETWEEN(1,3)</f>
        <v>1</v>
      </c>
      <c r="G196" s="1" t="str">
        <f>TEXT(A196,"mmm-yyyy")</f>
        <v>Jun-2026</v>
      </c>
    </row>
    <row r="197" spans="1:7" x14ac:dyDescent="0.3">
      <c r="A197" s="2">
        <v>46188</v>
      </c>
      <c r="B197" s="1" t="str">
        <f>TEXT(A197,"ddd")</f>
        <v>Mon</v>
      </c>
      <c r="C197" s="1" t="s">
        <v>168</v>
      </c>
      <c r="D197" s="1" t="s">
        <v>9</v>
      </c>
      <c r="E197" s="1" t="s">
        <v>8</v>
      </c>
      <c r="F197" s="1">
        <f ca="1">RANDBETWEEN(1,3)</f>
        <v>3</v>
      </c>
      <c r="G197" s="1" t="str">
        <f>TEXT(A197,"mmm-yyyy")</f>
        <v>Jun-2026</v>
      </c>
    </row>
    <row r="198" spans="1:7" x14ac:dyDescent="0.3">
      <c r="A198" s="2">
        <v>46190</v>
      </c>
      <c r="B198" s="1" t="str">
        <f>TEXT(A198,"ddd")</f>
        <v>Wed</v>
      </c>
      <c r="C198" s="1" t="s">
        <v>206</v>
      </c>
      <c r="D198" s="1" t="s">
        <v>7</v>
      </c>
      <c r="E198" s="1" t="s">
        <v>6</v>
      </c>
      <c r="F198" s="1">
        <f ca="1">RANDBETWEEN(1,3)</f>
        <v>1</v>
      </c>
      <c r="G198" s="1" t="str">
        <f>TEXT(A198,"mmm-yyyy")</f>
        <v>Jun-2026</v>
      </c>
    </row>
    <row r="199" spans="1:7" x14ac:dyDescent="0.3">
      <c r="A199" s="2">
        <v>46191</v>
      </c>
      <c r="B199" s="1" t="str">
        <f>TEXT(A199,"ddd")</f>
        <v>Thu</v>
      </c>
      <c r="C199" s="1" t="s">
        <v>145</v>
      </c>
      <c r="D199" s="1" t="s">
        <v>1</v>
      </c>
      <c r="E199" s="1" t="s">
        <v>0</v>
      </c>
      <c r="F199" s="1">
        <f ca="1">RANDBETWEEN(1,3)</f>
        <v>2</v>
      </c>
      <c r="G199" s="1" t="str">
        <f>TEXT(A199,"mmm-yyyy")</f>
        <v>Jun-2026</v>
      </c>
    </row>
    <row r="200" spans="1:7" x14ac:dyDescent="0.3">
      <c r="A200" s="2">
        <v>46191</v>
      </c>
      <c r="B200" s="1" t="str">
        <f>TEXT(A200,"ddd")</f>
        <v>Thu</v>
      </c>
      <c r="C200" s="1" t="s">
        <v>5</v>
      </c>
      <c r="D200" s="1" t="s">
        <v>4</v>
      </c>
      <c r="E200" s="1" t="s">
        <v>3</v>
      </c>
      <c r="F200" s="1">
        <f ca="1">RANDBETWEEN(1,3)</f>
        <v>3</v>
      </c>
      <c r="G200" s="1" t="str">
        <f>TEXT(A200,"mmm-yyyy")</f>
        <v>Jun-2026</v>
      </c>
    </row>
    <row r="201" spans="1:7" x14ac:dyDescent="0.3">
      <c r="A201" t="s">
        <v>211</v>
      </c>
      <c r="F201" t="s">
        <v>214</v>
      </c>
      <c r="G201">
        <f>SUBTOTAL(103,WatchHistory4[Month])</f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Dashboard</vt:lpstr>
      <vt:lpstr>Sheet2</vt:lpstr>
      <vt:lpstr>Watch History </vt:lpstr>
      <vt:lpstr>_01_Jun_2025</vt:lpstr>
      <vt:lpstr>_04_Jun_2025</vt:lpstr>
      <vt:lpstr>_05_Jun_2025</vt:lpstr>
      <vt:lpstr>_08_Jun_2025</vt:lpstr>
      <vt:lpstr>Building_Better_Study_Habits</vt:lpstr>
      <vt:lpstr>Category</vt:lpstr>
      <vt:lpstr>Channel</vt:lpstr>
      <vt:lpstr>Date_Watched</vt:lpstr>
      <vt:lpstr>Day_of_Week</vt:lpstr>
      <vt:lpstr>Duration__min</vt:lpstr>
      <vt:lpstr>Jun_2025</vt:lpstr>
      <vt:lpstr>Justin_Sung</vt:lpstr>
      <vt:lpstr>Learning_Science</vt:lpstr>
      <vt:lpstr>Month</vt:lpstr>
      <vt:lpstr>Sun</vt:lpstr>
      <vt:lpstr>Video_Title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Oyedolapo Richard Oyelade (Student)</dc:creator>
  <cp:lastModifiedBy>oyelade richard</cp:lastModifiedBy>
  <dcterms:created xsi:type="dcterms:W3CDTF">2026-06-22T12:08:12Z</dcterms:created>
  <dcterms:modified xsi:type="dcterms:W3CDTF">2026-06-25T11:41:14Z</dcterms:modified>
</cp:coreProperties>
</file>